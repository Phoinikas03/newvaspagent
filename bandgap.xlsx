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带" sheetId="1" state="visible" r:id="rId1"/>
    <sheet xmlns:r="http://schemas.openxmlformats.org/officeDocument/2006/relationships" name="vaspagent_bandgap_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C1" t="inlineStr">
        <is>
          <t>AlN</t>
        </is>
      </c>
      <c r="D1" t="inlineStr">
        <is>
          <t>B6P</t>
        </is>
      </c>
      <c r="E1" t="inlineStr">
        <is>
          <t>BN</t>
        </is>
      </c>
      <c r="F1" t="inlineStr">
        <is>
          <t>BaO2</t>
        </is>
      </c>
      <c r="G1" t="inlineStr">
        <is>
          <t>C</t>
        </is>
      </c>
      <c r="H1" t="inlineStr">
        <is>
          <t>CdS</t>
        </is>
      </c>
      <c r="I1" t="inlineStr">
        <is>
          <t>CdSe</t>
        </is>
      </c>
      <c r="J1" t="inlineStr">
        <is>
          <t>CdTe</t>
        </is>
      </c>
      <c r="K1" t="inlineStr">
        <is>
          <t>Cu2O</t>
        </is>
      </c>
      <c r="L1" t="inlineStr">
        <is>
          <t>Ga2O3</t>
        </is>
      </c>
      <c r="M1" t="inlineStr">
        <is>
          <t>GaAs</t>
        </is>
      </c>
      <c r="N1" t="inlineStr">
        <is>
          <t>GaN</t>
        </is>
      </c>
      <c r="O1" t="inlineStr">
        <is>
          <t>GaP</t>
        </is>
      </c>
      <c r="P1" t="inlineStr">
        <is>
          <t>InGaP2</t>
        </is>
      </c>
      <c r="Q1" t="inlineStr">
        <is>
          <t>InP</t>
        </is>
      </c>
      <c r="R1" t="inlineStr">
        <is>
          <t>InSe</t>
        </is>
      </c>
      <c r="S1" t="inlineStr">
        <is>
          <t>MoS2</t>
        </is>
      </c>
      <c r="T1" t="inlineStr">
        <is>
          <t>PbS</t>
        </is>
      </c>
      <c r="U1" t="inlineStr">
        <is>
          <t>PbSe</t>
        </is>
      </c>
      <c r="V1" t="inlineStr">
        <is>
          <t>Si</t>
        </is>
      </c>
      <c r="W1" t="inlineStr">
        <is>
          <t>SiC</t>
        </is>
      </c>
      <c r="X1" t="inlineStr">
        <is>
          <t>SnO2</t>
        </is>
      </c>
      <c r="Y1" t="inlineStr">
        <is>
          <t>ZnO</t>
        </is>
      </c>
      <c r="Z1" t="inlineStr">
        <is>
          <t>ZnS</t>
        </is>
      </c>
      <c r="AA1" t="inlineStr">
        <is>
          <t>success rate</t>
        </is>
      </c>
    </row>
    <row r="2">
      <c r="B2" t="inlineStr">
        <is>
          <t>ground truth(1表示实验值，对于多个实验值取最接近300K,0.1MPa的，2表示文献计算值，3表示本项研究计算结果）</t>
        </is>
      </c>
      <c r="C2" t="inlineStr">
        <is>
          <t>6.13(1)</t>
        </is>
      </c>
      <c r="D2" t="inlineStr">
        <is>
          <t>2.83(2)</t>
        </is>
      </c>
      <c r="E2" t="inlineStr">
        <is>
          <t>6.4(1)</t>
        </is>
      </c>
      <c r="F2" t="inlineStr">
        <is>
          <t>3.818(3)</t>
        </is>
      </c>
      <c r="G2" t="inlineStr">
        <is>
          <t>5.48(1)</t>
        </is>
      </c>
      <c r="H2" t="inlineStr">
        <is>
          <t>2.482(1)</t>
        </is>
      </c>
      <c r="I2" t="inlineStr">
        <is>
          <t>1.66(1)</t>
        </is>
      </c>
      <c r="J2" t="inlineStr">
        <is>
          <t>1.64182(2)</t>
        </is>
      </c>
      <c r="K2" t="inlineStr">
        <is>
          <t>1.95(1)</t>
        </is>
      </c>
      <c r="L2" t="inlineStr">
        <is>
          <t>5.02(1)</t>
        </is>
      </c>
      <c r="M2" t="inlineStr">
        <is>
          <t>1.428(1)</t>
        </is>
      </c>
      <c r="N2" t="inlineStr">
        <is>
          <t>3.17(1)</t>
        </is>
      </c>
      <c r="O2" t="inlineStr">
        <is>
          <t>2.78(1)</t>
        </is>
      </c>
      <c r="P2" t="inlineStr">
        <is>
          <t>1.358(3)</t>
        </is>
      </c>
      <c r="Q2" t="inlineStr">
        <is>
          <t>1.34(1)</t>
        </is>
      </c>
      <c r="R2" t="inlineStr">
        <is>
          <t>1.23(1)</t>
        </is>
      </c>
      <c r="S2" t="inlineStr">
        <is>
          <t>2.15(3)</t>
        </is>
      </c>
      <c r="T2" t="inlineStr">
        <is>
          <t>1.0(1)</t>
        </is>
      </c>
      <c r="U2" t="inlineStr">
        <is>
          <t>0.905(3）</t>
        </is>
      </c>
      <c r="V2" t="inlineStr">
        <is>
          <t>1.20(1)</t>
        </is>
      </c>
      <c r="W2" t="inlineStr">
        <is>
          <t>3.182(3)</t>
        </is>
      </c>
      <c r="X2" t="inlineStr">
        <is>
          <t>2.57(1)</t>
        </is>
      </c>
      <c r="Y2" t="inlineStr">
        <is>
          <t>3.441(1)</t>
        </is>
      </c>
      <c r="Z2" t="inlineStr">
        <is>
          <t>3.56(1)</t>
        </is>
      </c>
    </row>
    <row r="3">
      <c r="B3" t="inlineStr">
        <is>
          <t>our calculation</t>
        </is>
      </c>
      <c r="C3" t="n">
        <v>5.4109</v>
      </c>
      <c r="D3" t="n">
        <v>3.2302</v>
      </c>
      <c r="E3" t="n">
        <v>6.4873</v>
      </c>
      <c r="F3" t="n">
        <v>3.8182</v>
      </c>
      <c r="G3" t="n">
        <v>5.7193</v>
      </c>
      <c r="H3" t="n">
        <v>2.1258</v>
      </c>
      <c r="I3" t="n">
        <v>1.4705</v>
      </c>
      <c r="J3" t="n">
        <v>1.343</v>
      </c>
      <c r="K3" t="n">
        <v>1.8741</v>
      </c>
      <c r="L3" t="n">
        <v>3.7548</v>
      </c>
      <c r="M3" t="n">
        <v>1.0461</v>
      </c>
      <c r="N3" t="n">
        <v>2.9913</v>
      </c>
      <c r="O3" t="n">
        <v>2.3907</v>
      </c>
      <c r="P3" t="n">
        <v>1.3579</v>
      </c>
      <c r="Q3" t="n">
        <v>1.2488</v>
      </c>
      <c r="R3" t="n">
        <v>1.1648</v>
      </c>
      <c r="S3" t="n">
        <v>2.1504</v>
      </c>
      <c r="T3" t="n">
        <v>0.9569</v>
      </c>
      <c r="U3" t="n">
        <v>0.9053</v>
      </c>
      <c r="V3" t="n">
        <v>1.194</v>
      </c>
      <c r="W3" t="n">
        <v>3.182</v>
      </c>
      <c r="X3" t="n">
        <v>2.3107</v>
      </c>
      <c r="Y3" t="n">
        <v>2.4062</v>
      </c>
      <c r="Z3" t="n">
        <v>3.2347</v>
      </c>
    </row>
    <row r="4">
      <c r="A4" t="inlineStr">
        <is>
          <t>DeepSeek-V3.2</t>
        </is>
      </c>
      <c r="B4" t="inlineStr">
        <is>
          <t>计算值</t>
        </is>
      </c>
      <c r="C4" t="n">
        <v>5.411</v>
      </c>
      <c r="D4" t="n">
        <v>3.2328</v>
      </c>
      <c r="E4" t="n">
        <v>6.4891</v>
      </c>
      <c r="F4" t="n">
        <v>3.7981</v>
      </c>
      <c r="G4" t="n">
        <v>5.759400000000001</v>
      </c>
      <c r="H4" t="n">
        <v>2.2057</v>
      </c>
      <c r="I4" t="inlineStr">
        <is>
          <t>/</t>
        </is>
      </c>
      <c r="J4" t="n">
        <v>1.4531</v>
      </c>
      <c r="K4" t="n">
        <v>2.047</v>
      </c>
      <c r="L4" t="n">
        <v>4.1264</v>
      </c>
      <c r="M4" t="n">
        <v>1.052</v>
      </c>
      <c r="N4" t="n">
        <v>3.2058</v>
      </c>
      <c r="O4" t="n">
        <v>2.3251</v>
      </c>
      <c r="P4" t="n">
        <v>1.371099999999999</v>
      </c>
      <c r="Q4" t="inlineStr">
        <is>
          <t>/</t>
        </is>
      </c>
      <c r="R4" t="n">
        <v>1.2762</v>
      </c>
      <c r="S4" t="n">
        <v>2.1346</v>
      </c>
      <c r="T4" t="n">
        <v>0.8849</v>
      </c>
      <c r="U4" t="inlineStr">
        <is>
          <t>/</t>
        </is>
      </c>
      <c r="V4" t="n">
        <v>1.1713</v>
      </c>
      <c r="W4" t="n">
        <v>3.174900000000001</v>
      </c>
      <c r="X4" t="n">
        <v>2.788399999999999</v>
      </c>
      <c r="Y4" t="n">
        <v>2.5077</v>
      </c>
      <c r="Z4" t="n">
        <v>3.4052</v>
      </c>
      <c r="AA4" t="n">
        <v>0.875</v>
      </c>
    </row>
    <row r="5">
      <c r="B5" t="inlineStr">
        <is>
          <t>得分</t>
        </is>
      </c>
      <c r="C5">
        <f>IFERROR(   IF(      AND(ISNUMBER(VALUE(C$3)), ISNUMBER(VALUE(C4))),      IF(         MAX(ABS(VALUE(C4)),ABS(VALUE(C$3)))&lt;&gt;0,         MIN(ABS(VALUE(C4)),ABS(VALUE(C$3)))/MAX(ABS(VALUE(C4)),ABS(VALUE(C$3))),         0      ),      0   ),0)</f>
        <v/>
      </c>
      <c r="D5">
        <f>IFERROR(   IF(      AND(ISNUMBER(VALUE(D$3)), ISNUMBER(VALUE(D4))),      IF(         MAX(ABS(VALUE(D4)),ABS(VALUE(D$3)))&lt;&gt;0,         MIN(ABS(VALUE(D4)),ABS(VALUE(D$3)))/MAX(ABS(VALUE(D4)),ABS(VALUE(D$3))),         0      ),      0   ),0)</f>
        <v/>
      </c>
      <c r="E5">
        <f>IFERROR(   IF(      AND(ISNUMBER(VALUE(E$3)), ISNUMBER(VALUE(E4))),      IF(         MAX(ABS(VALUE(E4)),ABS(VALUE(E$3)))&lt;&gt;0,         MIN(ABS(VALUE(E4)),ABS(VALUE(E$3)))/MAX(ABS(VALUE(E4)),ABS(VALUE(E$3))),         0      ),      0   ),0)</f>
        <v/>
      </c>
      <c r="F5">
        <f>IFERROR(   IF(      AND(ISNUMBER(VALUE(F$3)), ISNUMBER(VALUE(F4))),      IF(         MAX(ABS(VALUE(F4)),ABS(VALUE(F$3)))&lt;&gt;0,         MIN(ABS(VALUE(F4)),ABS(VALUE(F$3)))/MAX(ABS(VALUE(F4)),ABS(VALUE(F$3))),         0      ),      0   ),0)</f>
        <v/>
      </c>
      <c r="G5">
        <f>IFERROR(   IF(      AND(ISNUMBER(VALUE(G$3)), ISNUMBER(VALUE(G4))),      IF(         MAX(ABS(VALUE(G4)),ABS(VALUE(G$3)))&lt;&gt;0,         MIN(ABS(VALUE(G4)),ABS(VALUE(G$3)))/MAX(ABS(VALUE(G4)),ABS(VALUE(G$3))),         0      ),      0   ),0)</f>
        <v/>
      </c>
      <c r="H5">
        <f>IFERROR(   IF(      AND(ISNUMBER(VALUE(H$3)), ISNUMBER(VALUE(H4))),      IF(         MAX(ABS(VALUE(H4)),ABS(VALUE(H$3)))&lt;&gt;0,         MIN(ABS(VALUE(H4)),ABS(VALUE(H$3)))/MAX(ABS(VALUE(H4)),ABS(VALUE(H$3))),         0      ),      0   ),0)</f>
        <v/>
      </c>
      <c r="I5">
        <f>IFERROR(   IF(      AND(ISNUMBER(VALUE(I$3)), ISNUMBER(VALUE(I4))),      IF(         MAX(ABS(VALUE(I4)),ABS(VALUE(I$3)))&lt;&gt;0,         MIN(ABS(VALUE(I4)),ABS(VALUE(I$3)))/MAX(ABS(VALUE(I4)),ABS(VALUE(I$3))),         0      ),      0   ),0)</f>
        <v/>
      </c>
      <c r="J5">
        <f>IFERROR(   IF(      AND(ISNUMBER(VALUE(J$3)), ISNUMBER(VALUE(J4))),      IF(         MAX(ABS(VALUE(J4)),ABS(VALUE(J$3)))&lt;&gt;0,         MIN(ABS(VALUE(J4)),ABS(VALUE(J$3)))/MAX(ABS(VALUE(J4)),ABS(VALUE(J$3))),         0      ),      0   ),0)</f>
        <v/>
      </c>
      <c r="K5">
        <f>IFERROR(   IF(      AND(ISNUMBER(VALUE(K$3)), ISNUMBER(VALUE(K4))),      IF(         MAX(ABS(VALUE(K4)),ABS(VALUE(K$3)))&lt;&gt;0,         MIN(ABS(VALUE(K4)),ABS(VALUE(K$3)))/MAX(ABS(VALUE(K4)),ABS(VALUE(K$3))),         0      ),      0   ),0)</f>
        <v/>
      </c>
      <c r="L5">
        <f>IFERROR(   IF(      AND(ISNUMBER(VALUE(L$3)), ISNUMBER(VALUE(L4))),      IF(         MAX(ABS(VALUE(L4)),ABS(VALUE(L$3)))&lt;&gt;0,         MIN(ABS(VALUE(L4)),ABS(VALUE(L$3)))/MAX(ABS(VALUE(L4)),ABS(VALUE(L$3))),         0      ),      0   ),0)</f>
        <v/>
      </c>
      <c r="M5">
        <f>IFERROR(   IF(      AND(ISNUMBER(VALUE(M$3)), ISNUMBER(VALUE(M4))),      IF(         MAX(ABS(VALUE(M4)),ABS(VALUE(M$3)))&lt;&gt;0,         MIN(ABS(VALUE(M4)),ABS(VALUE(M$3)))/MAX(ABS(VALUE(M4)),ABS(VALUE(M$3))),         0      ),      0   ),0)</f>
        <v/>
      </c>
      <c r="N5">
        <f>IFERROR(   IF(      AND(ISNUMBER(VALUE(N$3)), ISNUMBER(VALUE(N4))),      IF(         MAX(ABS(VALUE(N4)),ABS(VALUE(N$3)))&lt;&gt;0,         MIN(ABS(VALUE(N4)),ABS(VALUE(N$3)))/MAX(ABS(VALUE(N4)),ABS(VALUE(N$3))),         0      ),      0   ),0)</f>
        <v/>
      </c>
      <c r="O5">
        <f>IFERROR(   IF(      AND(ISNUMBER(VALUE(O$3)), ISNUMBER(VALUE(O4))),      IF(         MAX(ABS(VALUE(O4)),ABS(VALUE(O$3)))&lt;&gt;0,         MIN(ABS(VALUE(O4)),ABS(VALUE(O$3)))/MAX(ABS(VALUE(O4)),ABS(VALUE(O$3))),         0      ),      0   ),0)</f>
        <v/>
      </c>
      <c r="P5">
        <f>IFERROR(   IF(      AND(ISNUMBER(VALUE(P$3)), ISNUMBER(VALUE(P4))),      IF(         MAX(ABS(VALUE(P4)),ABS(VALUE(P$3)))&lt;&gt;0,         MIN(ABS(VALUE(P4)),ABS(VALUE(P$3)))/MAX(ABS(VALUE(P4)),ABS(VALUE(P$3))),         0      ),      0   ),0)</f>
        <v/>
      </c>
      <c r="Q5">
        <f>IFERROR(   IF(      AND(ISNUMBER(VALUE(Q$3)), ISNUMBER(VALUE(Q4))),      IF(         MAX(ABS(VALUE(Q4)),ABS(VALUE(Q$3)))&lt;&gt;0,         MIN(ABS(VALUE(Q4)),ABS(VALUE(Q$3)))/MAX(ABS(VALUE(Q4)),ABS(VALUE(Q$3))),         0      ),      0   ),0)</f>
        <v/>
      </c>
      <c r="R5">
        <f>IFERROR(   IF(      AND(ISNUMBER(VALUE(R$3)), ISNUMBER(VALUE(R4))),      IF(         MAX(ABS(VALUE(R4)),ABS(VALUE(R$3)))&lt;&gt;0,         MIN(ABS(VALUE(R4)),ABS(VALUE(R$3)))/MAX(ABS(VALUE(R4)),ABS(VALUE(R$3))),         0      ),      0   ),0)</f>
        <v/>
      </c>
      <c r="S5">
        <f>IFERROR(   IF(      AND(ISNUMBER(VALUE(S$3)), ISNUMBER(VALUE(S4))),      IF(         MAX(ABS(VALUE(S4)),ABS(VALUE(S$3)))&lt;&gt;0,         MIN(ABS(VALUE(S4)),ABS(VALUE(S$3)))/MAX(ABS(VALUE(S4)),ABS(VALUE(S$3))),         0      ),      0   ),0)</f>
        <v/>
      </c>
      <c r="T5">
        <f>IFERROR(   IF(      AND(ISNUMBER(VALUE(T$3)), ISNUMBER(VALUE(T4))),      IF(         MAX(ABS(VALUE(T4)),ABS(VALUE(T$3)))&lt;&gt;0,         MIN(ABS(VALUE(T4)),ABS(VALUE(T$3)))/MAX(ABS(VALUE(T4)),ABS(VALUE(T$3))),         0      ),      0   ),0)</f>
        <v/>
      </c>
      <c r="U5">
        <f>IFERROR(   IF(      AND(ISNUMBER(VALUE(U$3)), ISNUMBER(VALUE(U4))),      IF(         MAX(ABS(VALUE(U4)),ABS(VALUE(U$3)))&lt;&gt;0,         MIN(ABS(VALUE(U4)),ABS(VALUE(U$3)))/MAX(ABS(VALUE(U4)),ABS(VALUE(U$3))),         0      ),      0   ),0)</f>
        <v/>
      </c>
      <c r="V5">
        <f>IFERROR(   IF(      AND(ISNUMBER(VALUE(V$3)), ISNUMBER(VALUE(V4))),      IF(         MAX(ABS(VALUE(V4)),ABS(VALUE(V$3)))&lt;&gt;0,         MIN(ABS(VALUE(V4)),ABS(VALUE(V$3)))/MAX(ABS(VALUE(V4)),ABS(VALUE(V$3))),         0      ),      0   ),0)</f>
        <v/>
      </c>
      <c r="W5">
        <f>IFERROR(   IF(      AND(ISNUMBER(VALUE(W$3)), ISNUMBER(VALUE(W4))),      IF(         MAX(ABS(VALUE(W4)),ABS(VALUE(W$3)))&lt;&gt;0,         MIN(ABS(VALUE(W4)),ABS(VALUE(W$3)))/MAX(ABS(VALUE(W4)),ABS(VALUE(W$3))),         0      ),      0   ),0)</f>
        <v/>
      </c>
      <c r="X5">
        <f>IFERROR(   IF(      AND(ISNUMBER(VALUE(X$3)), ISNUMBER(VALUE(X4))),      IF(         MAX(ABS(VALUE(X4)),ABS(VALUE(X$3)))&lt;&gt;0,         MIN(ABS(VALUE(X4)),ABS(VALUE(X$3)))/MAX(ABS(VALUE(X4)),ABS(VALUE(X$3))),         0      ),      0   ),0)</f>
        <v/>
      </c>
      <c r="Y5">
        <f>IFERROR(   IF(      AND(ISNUMBER(VALUE(Y$3)), ISNUMBER(VALUE(Y4))),      IF(         MAX(ABS(VALUE(Y4)),ABS(VALUE(Y$3)))&lt;&gt;0,         MIN(ABS(VALUE(Y4)),ABS(VALUE(Y$3)))/MAX(ABS(VALUE(Y4)),ABS(VALUE(Y$3))),         0      ),      0   ),0)</f>
        <v/>
      </c>
      <c r="Z5">
        <f>IFERROR(   IF(      AND(ISNUMBER(VALUE(Z$3)), ISNUMBER(VALUE(Z4))),      IF(         MAX(ABS(VALUE(Z4)),ABS(VALUE(Z$3)))&lt;&gt;0,         MIN(ABS(VALUE(Z4)),ABS(VALUE(Z$3)))/MAX(ABS(VALUE(Z4)),ABS(VALUE(Z$3))),         0      ),      0   ),0)</f>
        <v/>
      </c>
      <c r="AA5" t="n">
        <v>0.875</v>
      </c>
    </row>
    <row r="6">
      <c r="A6" t="inlineStr">
        <is>
          <t>gemini-3.1-pro-preview</t>
        </is>
      </c>
      <c r="B6" t="inlineStr">
        <is>
          <t>计算值</t>
        </is>
      </c>
      <c r="C6" t="n">
        <v>5.410900000000001</v>
      </c>
      <c r="D6" t="n">
        <v>3.232600000000001</v>
      </c>
      <c r="E6" t="n">
        <v>6.4892</v>
      </c>
      <c r="F6" t="n">
        <v>3.7979</v>
      </c>
      <c r="G6" t="n">
        <v>5.7593</v>
      </c>
      <c r="H6" t="n">
        <v>2.2039</v>
      </c>
      <c r="I6" t="n">
        <v>1.5585</v>
      </c>
      <c r="J6" t="n">
        <v>1.4521</v>
      </c>
      <c r="K6" t="n">
        <v>2.047099999999999</v>
      </c>
      <c r="L6" t="n">
        <v>4.127599999999999</v>
      </c>
      <c r="M6" t="n">
        <v>1.0525</v>
      </c>
      <c r="N6" t="n">
        <v>3.216299999999999</v>
      </c>
      <c r="O6" t="n">
        <v>2.3248</v>
      </c>
      <c r="P6" t="n">
        <v>1.371300000000001</v>
      </c>
      <c r="Q6" t="n">
        <v>1.4167</v>
      </c>
      <c r="R6" t="n">
        <v>1.2764</v>
      </c>
      <c r="S6" t="n">
        <v>2.1347</v>
      </c>
      <c r="T6" t="n">
        <v>0.8856000000000002</v>
      </c>
      <c r="U6" t="n">
        <v>0.8308999999999997</v>
      </c>
      <c r="V6" t="n">
        <v>1.1687</v>
      </c>
      <c r="W6" t="n">
        <v>3.175000000000001</v>
      </c>
      <c r="X6" t="n">
        <v>2.7887</v>
      </c>
      <c r="Y6" t="n">
        <v>2.5107</v>
      </c>
      <c r="Z6" t="n">
        <v>3.4063</v>
      </c>
      <c r="AA6" t="n">
        <v>1</v>
      </c>
    </row>
    <row r="7">
      <c r="B7" t="inlineStr">
        <is>
          <t>得分</t>
        </is>
      </c>
      <c r="C7">
        <f>IFERROR(   IF(      AND(ISNUMBER(VALUE(C$3)), ISNUMBER(VALUE(C6))),      IF(         MAX(ABS(VALUE(C6)),ABS(VALUE(C$3)))&lt;&gt;0,         MIN(ABS(VALUE(C6)),ABS(VALUE(C$3)))/MAX(ABS(VALUE(C6)),ABS(VALUE(C$3))),         0      ),      0   ),0)</f>
        <v/>
      </c>
      <c r="D7">
        <f>IFERROR(   IF(      AND(ISNUMBER(VALUE(D$3)), ISNUMBER(VALUE(D6))),      IF(         MAX(ABS(VALUE(D6)),ABS(VALUE(D$3)))&lt;&gt;0,         MIN(ABS(VALUE(D6)),ABS(VALUE(D$3)))/MAX(ABS(VALUE(D6)),ABS(VALUE(D$3))),         0      ),      0   ),0)</f>
        <v/>
      </c>
      <c r="E7">
        <f>IFERROR(   IF(      AND(ISNUMBER(VALUE(E$3)), ISNUMBER(VALUE(E6))),      IF(         MAX(ABS(VALUE(E6)),ABS(VALUE(E$3)))&lt;&gt;0,         MIN(ABS(VALUE(E6)),ABS(VALUE(E$3)))/MAX(ABS(VALUE(E6)),ABS(VALUE(E$3))),         0      ),      0   ),0)</f>
        <v/>
      </c>
      <c r="F7">
        <f>IFERROR(   IF(      AND(ISNUMBER(VALUE(F$3)), ISNUMBER(VALUE(F6))),      IF(         MAX(ABS(VALUE(F6)),ABS(VALUE(F$3)))&lt;&gt;0,         MIN(ABS(VALUE(F6)),ABS(VALUE(F$3)))/MAX(ABS(VALUE(F6)),ABS(VALUE(F$3))),         0      ),      0   ),0)</f>
        <v/>
      </c>
      <c r="G7">
        <f>IFERROR(   IF(      AND(ISNUMBER(VALUE(G$3)), ISNUMBER(VALUE(G6))),      IF(         MAX(ABS(VALUE(G6)),ABS(VALUE(G$3)))&lt;&gt;0,         MIN(ABS(VALUE(G6)),ABS(VALUE(G$3)))/MAX(ABS(VALUE(G6)),ABS(VALUE(G$3))),         0      ),      0   ),0)</f>
        <v/>
      </c>
      <c r="H7">
        <f>IFERROR(   IF(      AND(ISNUMBER(VALUE(H$3)), ISNUMBER(VALUE(H6))),      IF(         MAX(ABS(VALUE(H6)),ABS(VALUE(H$3)))&lt;&gt;0,         MIN(ABS(VALUE(H6)),ABS(VALUE(H$3)))/MAX(ABS(VALUE(H6)),ABS(VALUE(H$3))),         0      ),      0   ),0)</f>
        <v/>
      </c>
      <c r="I7">
        <f>IFERROR(   IF(      AND(ISNUMBER(VALUE(I$3)), ISNUMBER(VALUE(I6))),      IF(         MAX(ABS(VALUE(I6)),ABS(VALUE(I$3)))&lt;&gt;0,         MIN(ABS(VALUE(I6)),ABS(VALUE(I$3)))/MAX(ABS(VALUE(I6)),ABS(VALUE(I$3))),         0      ),      0   ),0)</f>
        <v/>
      </c>
      <c r="J7">
        <f>IFERROR(   IF(      AND(ISNUMBER(VALUE(J$3)), ISNUMBER(VALUE(J6))),      IF(         MAX(ABS(VALUE(J6)),ABS(VALUE(J$3)))&lt;&gt;0,         MIN(ABS(VALUE(J6)),ABS(VALUE(J$3)))/MAX(ABS(VALUE(J6)),ABS(VALUE(J$3))),         0      ),      0   ),0)</f>
        <v/>
      </c>
      <c r="K7">
        <f>IFERROR(   IF(      AND(ISNUMBER(VALUE(K$3)), ISNUMBER(VALUE(K6))),      IF(         MAX(ABS(VALUE(K6)),ABS(VALUE(K$3)))&lt;&gt;0,         MIN(ABS(VALUE(K6)),ABS(VALUE(K$3)))/MAX(ABS(VALUE(K6)),ABS(VALUE(K$3))),         0      ),      0   ),0)</f>
        <v/>
      </c>
      <c r="L7">
        <f>IFERROR(   IF(      AND(ISNUMBER(VALUE(L$3)), ISNUMBER(VALUE(L6))),      IF(         MAX(ABS(VALUE(L6)),ABS(VALUE(L$3)))&lt;&gt;0,         MIN(ABS(VALUE(L6)),ABS(VALUE(L$3)))/MAX(ABS(VALUE(L6)),ABS(VALUE(L$3))),         0      ),      0   ),0)</f>
        <v/>
      </c>
      <c r="M7">
        <f>IFERROR(   IF(      AND(ISNUMBER(VALUE(M$3)), ISNUMBER(VALUE(M6))),      IF(         MAX(ABS(VALUE(M6)),ABS(VALUE(M$3)))&lt;&gt;0,         MIN(ABS(VALUE(M6)),ABS(VALUE(M$3)))/MAX(ABS(VALUE(M6)),ABS(VALUE(M$3))),         0      ),      0   ),0)</f>
        <v/>
      </c>
      <c r="N7">
        <f>IFERROR(   IF(      AND(ISNUMBER(VALUE(N$3)), ISNUMBER(VALUE(N6))),      IF(         MAX(ABS(VALUE(N6)),ABS(VALUE(N$3)))&lt;&gt;0,         MIN(ABS(VALUE(N6)),ABS(VALUE(N$3)))/MAX(ABS(VALUE(N6)),ABS(VALUE(N$3))),         0      ),      0   ),0)</f>
        <v/>
      </c>
      <c r="O7">
        <f>IFERROR(   IF(      AND(ISNUMBER(VALUE(O$3)), ISNUMBER(VALUE(O6))),      IF(         MAX(ABS(VALUE(O6)),ABS(VALUE(O$3)))&lt;&gt;0,         MIN(ABS(VALUE(O6)),ABS(VALUE(O$3)))/MAX(ABS(VALUE(O6)),ABS(VALUE(O$3))),         0      ),      0   ),0)</f>
        <v/>
      </c>
      <c r="P7">
        <f>IFERROR(   IF(      AND(ISNUMBER(VALUE(P$3)), ISNUMBER(VALUE(P6))),      IF(         MAX(ABS(VALUE(P6)),ABS(VALUE(P$3)))&lt;&gt;0,         MIN(ABS(VALUE(P6)),ABS(VALUE(P$3)))/MAX(ABS(VALUE(P6)),ABS(VALUE(P$3))),         0      ),      0   ),0)</f>
        <v/>
      </c>
      <c r="Q7">
        <f>IFERROR(   IF(      AND(ISNUMBER(VALUE(Q$3)), ISNUMBER(VALUE(Q6))),      IF(         MAX(ABS(VALUE(Q6)),ABS(VALUE(Q$3)))&lt;&gt;0,         MIN(ABS(VALUE(Q6)),ABS(VALUE(Q$3)))/MAX(ABS(VALUE(Q6)),ABS(VALUE(Q$3))),         0      ),      0   ),0)</f>
        <v/>
      </c>
      <c r="R7">
        <f>IFERROR(   IF(      AND(ISNUMBER(VALUE(R$3)), ISNUMBER(VALUE(R6))),      IF(         MAX(ABS(VALUE(R6)),ABS(VALUE(R$3)))&lt;&gt;0,         MIN(ABS(VALUE(R6)),ABS(VALUE(R$3)))/MAX(ABS(VALUE(R6)),ABS(VALUE(R$3))),         0      ),      0   ),0)</f>
        <v/>
      </c>
      <c r="S7">
        <f>IFERROR(   IF(      AND(ISNUMBER(VALUE(S$3)), ISNUMBER(VALUE(S6))),      IF(         MAX(ABS(VALUE(S6)),ABS(VALUE(S$3)))&lt;&gt;0,         MIN(ABS(VALUE(S6)),ABS(VALUE(S$3)))/MAX(ABS(VALUE(S6)),ABS(VALUE(S$3))),         0      ),      0   ),0)</f>
        <v/>
      </c>
      <c r="T7">
        <f>IFERROR(   IF(      AND(ISNUMBER(VALUE(T$3)), ISNUMBER(VALUE(T6))),      IF(         MAX(ABS(VALUE(T6)),ABS(VALUE(T$3)))&lt;&gt;0,         MIN(ABS(VALUE(T6)),ABS(VALUE(T$3)))/MAX(ABS(VALUE(T6)),ABS(VALUE(T$3))),         0      ),      0   ),0)</f>
        <v/>
      </c>
      <c r="U7">
        <f>IFERROR(   IF(      AND(ISNUMBER(VALUE(U$3)), ISNUMBER(VALUE(U6))),      IF(         MAX(ABS(VALUE(U6)),ABS(VALUE(U$3)))&lt;&gt;0,         MIN(ABS(VALUE(U6)),ABS(VALUE(U$3)))/MAX(ABS(VALUE(U6)),ABS(VALUE(U$3))),         0      ),      0   ),0)</f>
        <v/>
      </c>
      <c r="V7">
        <f>IFERROR(   IF(      AND(ISNUMBER(VALUE(V$3)), ISNUMBER(VALUE(V6))),      IF(         MAX(ABS(VALUE(V6)),ABS(VALUE(V$3)))&lt;&gt;0,         MIN(ABS(VALUE(V6)),ABS(VALUE(V$3)))/MAX(ABS(VALUE(V6)),ABS(VALUE(V$3))),         0      ),      0   ),0)</f>
        <v/>
      </c>
      <c r="W7">
        <f>IFERROR(   IF(      AND(ISNUMBER(VALUE(W$3)), ISNUMBER(VALUE(W6))),      IF(         MAX(ABS(VALUE(W6)),ABS(VALUE(W$3)))&lt;&gt;0,         MIN(ABS(VALUE(W6)),ABS(VALUE(W$3)))/MAX(ABS(VALUE(W6)),ABS(VALUE(W$3))),         0      ),      0   ),0)</f>
        <v/>
      </c>
      <c r="X7">
        <f>IFERROR(   IF(      AND(ISNUMBER(VALUE(X$3)), ISNUMBER(VALUE(X6))),      IF(         MAX(ABS(VALUE(X6)),ABS(VALUE(X$3)))&lt;&gt;0,         MIN(ABS(VALUE(X6)),ABS(VALUE(X$3)))/MAX(ABS(VALUE(X6)),ABS(VALUE(X$3))),         0      ),      0   ),0)</f>
        <v/>
      </c>
      <c r="Y7">
        <f>IFERROR(   IF(      AND(ISNUMBER(VALUE(Y$3)), ISNUMBER(VALUE(Y6))),      IF(         MAX(ABS(VALUE(Y6)),ABS(VALUE(Y$3)))&lt;&gt;0,         MIN(ABS(VALUE(Y6)),ABS(VALUE(Y$3)))/MAX(ABS(VALUE(Y6)),ABS(VALUE(Y$3))),         0      ),      0   ),0)</f>
        <v/>
      </c>
      <c r="Z7">
        <f>IFERROR(   IF(      AND(ISNUMBER(VALUE(Z$3)), ISNUMBER(VALUE(Z6))),      IF(         MAX(ABS(VALUE(Z6)),ABS(VALUE(Z$3)))&lt;&gt;0,         MIN(ABS(VALUE(Z6)),ABS(VALUE(Z$3)))/MAX(ABS(VALUE(Z6)),ABS(VALUE(Z$3))),         0      ),      0   ),0)</f>
        <v/>
      </c>
      <c r="AA7" t="n">
        <v>1</v>
      </c>
    </row>
    <row r="8">
      <c r="A8" t="inlineStr">
        <is>
          <t>gpt-5.2-2025-12-11</t>
        </is>
      </c>
      <c r="B8" t="inlineStr">
        <is>
          <t>计算值</t>
        </is>
      </c>
      <c r="C8" t="n">
        <v>5.4108</v>
      </c>
      <c r="D8" t="n">
        <v>3.2329</v>
      </c>
      <c r="E8" t="n">
        <v>6.4862</v>
      </c>
      <c r="F8" t="n">
        <v>3.8058</v>
      </c>
      <c r="G8" t="n">
        <v>5.759400000000001</v>
      </c>
      <c r="H8" t="n">
        <v>2.2067</v>
      </c>
      <c r="I8" t="n">
        <v>1.5608</v>
      </c>
      <c r="J8" t="n">
        <v>1.454</v>
      </c>
      <c r="K8" t="n">
        <v>2.047</v>
      </c>
      <c r="L8" t="n">
        <v>4.1378</v>
      </c>
      <c r="M8" t="n">
        <v>1.057</v>
      </c>
      <c r="N8" t="n">
        <v>3.2174</v>
      </c>
      <c r="O8" t="n">
        <v>2.328099999999999</v>
      </c>
      <c r="P8" t="n">
        <v>1.3712</v>
      </c>
      <c r="Q8" t="n">
        <v>1.857399999999999</v>
      </c>
      <c r="R8" t="n">
        <v>1.2812</v>
      </c>
      <c r="S8" t="inlineStr">
        <is>
          <t>/</t>
        </is>
      </c>
      <c r="T8" t="inlineStr">
        <is>
          <t>/</t>
        </is>
      </c>
      <c r="U8" t="inlineStr">
        <is>
          <t>/</t>
        </is>
      </c>
      <c r="V8" t="n">
        <v>1.1686</v>
      </c>
      <c r="W8" t="n">
        <v>3.1756</v>
      </c>
      <c r="X8" t="n">
        <v>2.7993</v>
      </c>
      <c r="Y8" t="n">
        <v>2.5129</v>
      </c>
      <c r="Z8" t="n">
        <v>3.4084</v>
      </c>
      <c r="AA8" t="n">
        <v>0.875</v>
      </c>
    </row>
    <row r="9">
      <c r="B9" t="inlineStr">
        <is>
          <t>得分</t>
        </is>
      </c>
      <c r="C9">
        <f>IFERROR(   IF(      AND(ISNUMBER(VALUE(C$3)), ISNUMBER(VALUE(C8))),      IF(         MAX(ABS(VALUE(C8)),ABS(VALUE(C$3)))&lt;&gt;0,         MIN(ABS(VALUE(C8)),ABS(VALUE(C$3)))/MAX(ABS(VALUE(C8)),ABS(VALUE(C$3))),         0      ),      0   ),0)</f>
        <v/>
      </c>
      <c r="D9">
        <f>IFERROR(   IF(      AND(ISNUMBER(VALUE(D$3)), ISNUMBER(VALUE(D8))),      IF(         MAX(ABS(VALUE(D8)),ABS(VALUE(D$3)))&lt;&gt;0,         MIN(ABS(VALUE(D8)),ABS(VALUE(D$3)))/MAX(ABS(VALUE(D8)),ABS(VALUE(D$3))),         0      ),      0   ),0)</f>
        <v/>
      </c>
      <c r="E9">
        <f>IFERROR(   IF(      AND(ISNUMBER(VALUE(E$3)), ISNUMBER(VALUE(E8))),      IF(         MAX(ABS(VALUE(E8)),ABS(VALUE(E$3)))&lt;&gt;0,         MIN(ABS(VALUE(E8)),ABS(VALUE(E$3)))/MAX(ABS(VALUE(E8)),ABS(VALUE(E$3))),         0      ),      0   ),0)</f>
        <v/>
      </c>
      <c r="F9">
        <f>IFERROR(   IF(      AND(ISNUMBER(VALUE(F$3)), ISNUMBER(VALUE(F8))),      IF(         MAX(ABS(VALUE(F8)),ABS(VALUE(F$3)))&lt;&gt;0,         MIN(ABS(VALUE(F8)),ABS(VALUE(F$3)))/MAX(ABS(VALUE(F8)),ABS(VALUE(F$3))),         0      ),      0   ),0)</f>
        <v/>
      </c>
      <c r="G9">
        <f>IFERROR(   IF(      AND(ISNUMBER(VALUE(G$3)), ISNUMBER(VALUE(G8))),      IF(         MAX(ABS(VALUE(G8)),ABS(VALUE(G$3)))&lt;&gt;0,         MIN(ABS(VALUE(G8)),ABS(VALUE(G$3)))/MAX(ABS(VALUE(G8)),ABS(VALUE(G$3))),         0      ),      0   ),0)</f>
        <v/>
      </c>
      <c r="H9">
        <f>IFERROR(   IF(      AND(ISNUMBER(VALUE(H$3)), ISNUMBER(VALUE(H8))),      IF(         MAX(ABS(VALUE(H8)),ABS(VALUE(H$3)))&lt;&gt;0,         MIN(ABS(VALUE(H8)),ABS(VALUE(H$3)))/MAX(ABS(VALUE(H8)),ABS(VALUE(H$3))),         0      ),      0   ),0)</f>
        <v/>
      </c>
      <c r="I9">
        <f>IFERROR(   IF(      AND(ISNUMBER(VALUE(I$3)), ISNUMBER(VALUE(I8))),      IF(         MAX(ABS(VALUE(I8)),ABS(VALUE(I$3)))&lt;&gt;0,         MIN(ABS(VALUE(I8)),ABS(VALUE(I$3)))/MAX(ABS(VALUE(I8)),ABS(VALUE(I$3))),         0      ),      0   ),0)</f>
        <v/>
      </c>
      <c r="J9">
        <f>IFERROR(   IF(      AND(ISNUMBER(VALUE(J$3)), ISNUMBER(VALUE(J8))),      IF(         MAX(ABS(VALUE(J8)),ABS(VALUE(J$3)))&lt;&gt;0,         MIN(ABS(VALUE(J8)),ABS(VALUE(J$3)))/MAX(ABS(VALUE(J8)),ABS(VALUE(J$3))),         0      ),      0   ),0)</f>
        <v/>
      </c>
      <c r="K9">
        <f>IFERROR(   IF(      AND(ISNUMBER(VALUE(K$3)), ISNUMBER(VALUE(K8))),      IF(         MAX(ABS(VALUE(K8)),ABS(VALUE(K$3)))&lt;&gt;0,         MIN(ABS(VALUE(K8)),ABS(VALUE(K$3)))/MAX(ABS(VALUE(K8)),ABS(VALUE(K$3))),         0      ),      0   ),0)</f>
        <v/>
      </c>
      <c r="L9">
        <f>IFERROR(   IF(      AND(ISNUMBER(VALUE(L$3)), ISNUMBER(VALUE(L8))),      IF(         MAX(ABS(VALUE(L8)),ABS(VALUE(L$3)))&lt;&gt;0,         MIN(ABS(VALUE(L8)),ABS(VALUE(L$3)))/MAX(ABS(VALUE(L8)),ABS(VALUE(L$3))),         0      ),      0   ),0)</f>
        <v/>
      </c>
      <c r="M9">
        <f>IFERROR(   IF(      AND(ISNUMBER(VALUE(M$3)), ISNUMBER(VALUE(M8))),      IF(         MAX(ABS(VALUE(M8)),ABS(VALUE(M$3)))&lt;&gt;0,         MIN(ABS(VALUE(M8)),ABS(VALUE(M$3)))/MAX(ABS(VALUE(M8)),ABS(VALUE(M$3))),         0      ),      0   ),0)</f>
        <v/>
      </c>
      <c r="N9">
        <f>IFERROR(   IF(      AND(ISNUMBER(VALUE(N$3)), ISNUMBER(VALUE(N8))),      IF(         MAX(ABS(VALUE(N8)),ABS(VALUE(N$3)))&lt;&gt;0,         MIN(ABS(VALUE(N8)),ABS(VALUE(N$3)))/MAX(ABS(VALUE(N8)),ABS(VALUE(N$3))),         0      ),      0   ),0)</f>
        <v/>
      </c>
      <c r="O9">
        <f>IFERROR(   IF(      AND(ISNUMBER(VALUE(O$3)), ISNUMBER(VALUE(O8))),      IF(         MAX(ABS(VALUE(O8)),ABS(VALUE(O$3)))&lt;&gt;0,         MIN(ABS(VALUE(O8)),ABS(VALUE(O$3)))/MAX(ABS(VALUE(O8)),ABS(VALUE(O$3))),         0      ),      0   ),0)</f>
        <v/>
      </c>
      <c r="P9">
        <f>IFERROR(   IF(      AND(ISNUMBER(VALUE(P$3)), ISNUMBER(VALUE(P8))),      IF(         MAX(ABS(VALUE(P8)),ABS(VALUE(P$3)))&lt;&gt;0,         MIN(ABS(VALUE(P8)),ABS(VALUE(P$3)))/MAX(ABS(VALUE(P8)),ABS(VALUE(P$3))),         0      ),      0   ),0)</f>
        <v/>
      </c>
      <c r="Q9">
        <f>IFERROR(   IF(      AND(ISNUMBER(VALUE(Q$3)), ISNUMBER(VALUE(Q8))),      IF(         MAX(ABS(VALUE(Q8)),ABS(VALUE(Q$3)))&lt;&gt;0,         MIN(ABS(VALUE(Q8)),ABS(VALUE(Q$3)))/MAX(ABS(VALUE(Q8)),ABS(VALUE(Q$3))),         0      ),      0   ),0)</f>
        <v/>
      </c>
      <c r="R9">
        <f>IFERROR(   IF(      AND(ISNUMBER(VALUE(R$3)), ISNUMBER(VALUE(R8))),      IF(         MAX(ABS(VALUE(R8)),ABS(VALUE(R$3)))&lt;&gt;0,         MIN(ABS(VALUE(R8)),ABS(VALUE(R$3)))/MAX(ABS(VALUE(R8)),ABS(VALUE(R$3))),         0      ),      0   ),0)</f>
        <v/>
      </c>
      <c r="S9">
        <f>IFERROR(   IF(      AND(ISNUMBER(VALUE(S$3)), ISNUMBER(VALUE(S8))),      IF(         MAX(ABS(VALUE(S8)),ABS(VALUE(S$3)))&lt;&gt;0,         MIN(ABS(VALUE(S8)),ABS(VALUE(S$3)))/MAX(ABS(VALUE(S8)),ABS(VALUE(S$3))),         0      ),      0   ),0)</f>
        <v/>
      </c>
      <c r="T9">
        <f>IFERROR(   IF(      AND(ISNUMBER(VALUE(T$3)), ISNUMBER(VALUE(T8))),      IF(         MAX(ABS(VALUE(T8)),ABS(VALUE(T$3)))&lt;&gt;0,         MIN(ABS(VALUE(T8)),ABS(VALUE(T$3)))/MAX(ABS(VALUE(T8)),ABS(VALUE(T$3))),         0      ),      0   ),0)</f>
        <v/>
      </c>
      <c r="U9">
        <f>IFERROR(   IF(      AND(ISNUMBER(VALUE(U$3)), ISNUMBER(VALUE(U8))),      IF(         MAX(ABS(VALUE(U8)),ABS(VALUE(U$3)))&lt;&gt;0,         MIN(ABS(VALUE(U8)),ABS(VALUE(U$3)))/MAX(ABS(VALUE(U8)),ABS(VALUE(U$3))),         0      ),      0   ),0)</f>
        <v/>
      </c>
      <c r="V9">
        <f>IFERROR(   IF(      AND(ISNUMBER(VALUE(V$3)), ISNUMBER(VALUE(V8))),      IF(         MAX(ABS(VALUE(V8)),ABS(VALUE(V$3)))&lt;&gt;0,         MIN(ABS(VALUE(V8)),ABS(VALUE(V$3)))/MAX(ABS(VALUE(V8)),ABS(VALUE(V$3))),         0      ),      0   ),0)</f>
        <v/>
      </c>
      <c r="W9">
        <f>IFERROR(   IF(      AND(ISNUMBER(VALUE(W$3)), ISNUMBER(VALUE(W8))),      IF(         MAX(ABS(VALUE(W8)),ABS(VALUE(W$3)))&lt;&gt;0,         MIN(ABS(VALUE(W8)),ABS(VALUE(W$3)))/MAX(ABS(VALUE(W8)),ABS(VALUE(W$3))),         0      ),      0   ),0)</f>
        <v/>
      </c>
      <c r="X9">
        <f>IFERROR(   IF(      AND(ISNUMBER(VALUE(X$3)), ISNUMBER(VALUE(X8))),      IF(         MAX(ABS(VALUE(X8)),ABS(VALUE(X$3)))&lt;&gt;0,         MIN(ABS(VALUE(X8)),ABS(VALUE(X$3)))/MAX(ABS(VALUE(X8)),ABS(VALUE(X$3))),         0      ),      0   ),0)</f>
        <v/>
      </c>
      <c r="Y9">
        <f>IFERROR(   IF(      AND(ISNUMBER(VALUE(Y$3)), ISNUMBER(VALUE(Y8))),      IF(         MAX(ABS(VALUE(Y8)),ABS(VALUE(Y$3)))&lt;&gt;0,         MIN(ABS(VALUE(Y8)),ABS(VALUE(Y$3)))/MAX(ABS(VALUE(Y8)),ABS(VALUE(Y$3))),         0      ),      0   ),0)</f>
        <v/>
      </c>
      <c r="Z9">
        <f>IFERROR(   IF(      AND(ISNUMBER(VALUE(Z$3)), ISNUMBER(VALUE(Z8))),      IF(         MAX(ABS(VALUE(Z8)),ABS(VALUE(Z$3)))&lt;&gt;0,         MIN(ABS(VALUE(Z8)),ABS(VALUE(Z$3)))/MAX(ABS(VALUE(Z8)),ABS(VALUE(Z$3))),         0      ),      0   ),0)</f>
        <v/>
      </c>
      <c r="AA9" t="n">
        <v>0.875</v>
      </c>
    </row>
    <row r="10">
      <c r="A10" t="inlineStr">
        <is>
          <t>qwen3.5-397b-a17b</t>
        </is>
      </c>
      <c r="B10" t="inlineStr">
        <is>
          <t>计算值</t>
        </is>
      </c>
      <c r="C10" t="n">
        <v>5.410900000000001</v>
      </c>
      <c r="D10" t="n">
        <v>3.232900000000001</v>
      </c>
      <c r="E10" t="n">
        <v>6.488700000000001</v>
      </c>
      <c r="F10" t="n">
        <v>3.798</v>
      </c>
      <c r="G10" t="n">
        <v>5.7592</v>
      </c>
      <c r="H10" t="n">
        <v>2.2064</v>
      </c>
      <c r="I10" t="n">
        <v>1.6433</v>
      </c>
      <c r="J10" t="n">
        <v>1.4538</v>
      </c>
      <c r="K10" t="n">
        <v>2.0469</v>
      </c>
      <c r="L10" t="n">
        <v>4.1268</v>
      </c>
      <c r="M10" t="n">
        <v>1.0527</v>
      </c>
      <c r="N10" t="n">
        <v>3.2162</v>
      </c>
      <c r="O10" t="n">
        <v>2.3246</v>
      </c>
      <c r="P10" t="n">
        <v>1.37</v>
      </c>
      <c r="Q10" t="n">
        <v>1.4168</v>
      </c>
      <c r="R10" t="n">
        <v>1.2814</v>
      </c>
      <c r="S10" t="n">
        <v>2.1349</v>
      </c>
      <c r="T10" t="n">
        <v>0.8856000000000002</v>
      </c>
      <c r="U10" t="n">
        <v>0.8308</v>
      </c>
      <c r="V10" t="n">
        <v>1.1687</v>
      </c>
      <c r="W10" t="n">
        <v>3.1751</v>
      </c>
      <c r="X10" t="n">
        <v>2.7994</v>
      </c>
      <c r="Y10" t="n">
        <v>2.5131</v>
      </c>
      <c r="Z10" t="n">
        <v>3.4065</v>
      </c>
      <c r="AA10" t="n">
        <v>1</v>
      </c>
    </row>
    <row r="11">
      <c r="B11" t="inlineStr">
        <is>
          <t>得分</t>
        </is>
      </c>
      <c r="C11">
        <f>IFERROR(   IF(      AND(ISNUMBER(VALUE(C$3)), ISNUMBER(VALUE(C10))),      IF(         MAX(ABS(VALUE(C10)),ABS(VALUE(C$3)))&lt;&gt;0,         MIN(ABS(VALUE(C10)),ABS(VALUE(C$3)))/MAX(ABS(VALUE(C10)),ABS(VALUE(C$3))),         0      ),      0   ),0)</f>
        <v/>
      </c>
      <c r="D11">
        <f>IFERROR(   IF(      AND(ISNUMBER(VALUE(D$3)), ISNUMBER(VALUE(D10))),      IF(         MAX(ABS(VALUE(D10)),ABS(VALUE(D$3)))&lt;&gt;0,         MIN(ABS(VALUE(D10)),ABS(VALUE(D$3)))/MAX(ABS(VALUE(D10)),ABS(VALUE(D$3))),         0      ),      0   ),0)</f>
        <v/>
      </c>
      <c r="E11">
        <f>IFERROR(   IF(      AND(ISNUMBER(VALUE(E$3)), ISNUMBER(VALUE(E10))),      IF(         MAX(ABS(VALUE(E10)),ABS(VALUE(E$3)))&lt;&gt;0,         MIN(ABS(VALUE(E10)),ABS(VALUE(E$3)))/MAX(ABS(VALUE(E10)),ABS(VALUE(E$3))),         0      ),      0   ),0)</f>
        <v/>
      </c>
      <c r="F11">
        <f>IFERROR(   IF(      AND(ISNUMBER(VALUE(F$3)), ISNUMBER(VALUE(F10))),      IF(         MAX(ABS(VALUE(F10)),ABS(VALUE(F$3)))&lt;&gt;0,         MIN(ABS(VALUE(F10)),ABS(VALUE(F$3)))/MAX(ABS(VALUE(F10)),ABS(VALUE(F$3))),         0      ),      0   ),0)</f>
        <v/>
      </c>
      <c r="G11">
        <f>IFERROR(   IF(      AND(ISNUMBER(VALUE(G$3)), ISNUMBER(VALUE(G10))),      IF(         MAX(ABS(VALUE(G10)),ABS(VALUE(G$3)))&lt;&gt;0,         MIN(ABS(VALUE(G10)),ABS(VALUE(G$3)))/MAX(ABS(VALUE(G10)),ABS(VALUE(G$3))),         0      ),      0   ),0)</f>
        <v/>
      </c>
      <c r="H11">
        <f>IFERROR(   IF(      AND(ISNUMBER(VALUE(H$3)), ISNUMBER(VALUE(H10))),      IF(         MAX(ABS(VALUE(H10)),ABS(VALUE(H$3)))&lt;&gt;0,         MIN(ABS(VALUE(H10)),ABS(VALUE(H$3)))/MAX(ABS(VALUE(H10)),ABS(VALUE(H$3))),         0      ),      0   ),0)</f>
        <v/>
      </c>
      <c r="I11">
        <f>IFERROR(   IF(      AND(ISNUMBER(VALUE(I$3)), ISNUMBER(VALUE(I10))),      IF(         MAX(ABS(VALUE(I10)),ABS(VALUE(I$3)))&lt;&gt;0,         MIN(ABS(VALUE(I10)),ABS(VALUE(I$3)))/MAX(ABS(VALUE(I10)),ABS(VALUE(I$3))),         0      ),      0   ),0)</f>
        <v/>
      </c>
      <c r="J11">
        <f>IFERROR(   IF(      AND(ISNUMBER(VALUE(J$3)), ISNUMBER(VALUE(J10))),      IF(         MAX(ABS(VALUE(J10)),ABS(VALUE(J$3)))&lt;&gt;0,         MIN(ABS(VALUE(J10)),ABS(VALUE(J$3)))/MAX(ABS(VALUE(J10)),ABS(VALUE(J$3))),         0      ),      0   ),0)</f>
        <v/>
      </c>
      <c r="K11">
        <f>IFERROR(   IF(      AND(ISNUMBER(VALUE(K$3)), ISNUMBER(VALUE(K10))),      IF(         MAX(ABS(VALUE(K10)),ABS(VALUE(K$3)))&lt;&gt;0,         MIN(ABS(VALUE(K10)),ABS(VALUE(K$3)))/MAX(ABS(VALUE(K10)),ABS(VALUE(K$3))),         0      ),      0   ),0)</f>
        <v/>
      </c>
      <c r="L11">
        <f>IFERROR(   IF(      AND(ISNUMBER(VALUE(L$3)), ISNUMBER(VALUE(L10))),      IF(         MAX(ABS(VALUE(L10)),ABS(VALUE(L$3)))&lt;&gt;0,         MIN(ABS(VALUE(L10)),ABS(VALUE(L$3)))/MAX(ABS(VALUE(L10)),ABS(VALUE(L$3))),         0      ),      0   ),0)</f>
        <v/>
      </c>
      <c r="M11">
        <f>IFERROR(   IF(      AND(ISNUMBER(VALUE(M$3)), ISNUMBER(VALUE(M10))),      IF(         MAX(ABS(VALUE(M10)),ABS(VALUE(M$3)))&lt;&gt;0,         MIN(ABS(VALUE(M10)),ABS(VALUE(M$3)))/MAX(ABS(VALUE(M10)),ABS(VALUE(M$3))),         0      ),      0   ),0)</f>
        <v/>
      </c>
      <c r="N11">
        <f>IFERROR(   IF(      AND(ISNUMBER(VALUE(N$3)), ISNUMBER(VALUE(N10))),      IF(         MAX(ABS(VALUE(N10)),ABS(VALUE(N$3)))&lt;&gt;0,         MIN(ABS(VALUE(N10)),ABS(VALUE(N$3)))/MAX(ABS(VALUE(N10)),ABS(VALUE(N$3))),         0      ),      0   ),0)</f>
        <v/>
      </c>
      <c r="O11">
        <f>IFERROR(   IF(      AND(ISNUMBER(VALUE(O$3)), ISNUMBER(VALUE(O10))),      IF(         MAX(ABS(VALUE(O10)),ABS(VALUE(O$3)))&lt;&gt;0,         MIN(ABS(VALUE(O10)),ABS(VALUE(O$3)))/MAX(ABS(VALUE(O10)),ABS(VALUE(O$3))),         0      ),      0   ),0)</f>
        <v/>
      </c>
      <c r="P11">
        <f>IFERROR(   IF(      AND(ISNUMBER(VALUE(P$3)), ISNUMBER(VALUE(P10))),      IF(         MAX(ABS(VALUE(P10)),ABS(VALUE(P$3)))&lt;&gt;0,         MIN(ABS(VALUE(P10)),ABS(VALUE(P$3)))/MAX(ABS(VALUE(P10)),ABS(VALUE(P$3))),         0      ),      0   ),0)</f>
        <v/>
      </c>
      <c r="Q11">
        <f>IFERROR(   IF(      AND(ISNUMBER(VALUE(Q$3)), ISNUMBER(VALUE(Q10))),      IF(         MAX(ABS(VALUE(Q10)),ABS(VALUE(Q$3)))&lt;&gt;0,         MIN(ABS(VALUE(Q10)),ABS(VALUE(Q$3)))/MAX(ABS(VALUE(Q10)),ABS(VALUE(Q$3))),         0      ),      0   ),0)</f>
        <v/>
      </c>
      <c r="R11">
        <f>IFERROR(   IF(      AND(ISNUMBER(VALUE(R$3)), ISNUMBER(VALUE(R10))),      IF(         MAX(ABS(VALUE(R10)),ABS(VALUE(R$3)))&lt;&gt;0,         MIN(ABS(VALUE(R10)),ABS(VALUE(R$3)))/MAX(ABS(VALUE(R10)),ABS(VALUE(R$3))),         0      ),      0   ),0)</f>
        <v/>
      </c>
      <c r="S11">
        <f>IFERROR(   IF(      AND(ISNUMBER(VALUE(S$3)), ISNUMBER(VALUE(S10))),      IF(         MAX(ABS(VALUE(S10)),ABS(VALUE(S$3)))&lt;&gt;0,         MIN(ABS(VALUE(S10)),ABS(VALUE(S$3)))/MAX(ABS(VALUE(S10)),ABS(VALUE(S$3))),         0      ),      0   ),0)</f>
        <v/>
      </c>
      <c r="T11">
        <f>IFERROR(   IF(      AND(ISNUMBER(VALUE(T$3)), ISNUMBER(VALUE(T10))),      IF(         MAX(ABS(VALUE(T10)),ABS(VALUE(T$3)))&lt;&gt;0,         MIN(ABS(VALUE(T10)),ABS(VALUE(T$3)))/MAX(ABS(VALUE(T10)),ABS(VALUE(T$3))),         0      ),      0   ),0)</f>
        <v/>
      </c>
      <c r="U11">
        <f>IFERROR(   IF(      AND(ISNUMBER(VALUE(U$3)), ISNUMBER(VALUE(U10))),      IF(         MAX(ABS(VALUE(U10)),ABS(VALUE(U$3)))&lt;&gt;0,         MIN(ABS(VALUE(U10)),ABS(VALUE(U$3)))/MAX(ABS(VALUE(U10)),ABS(VALUE(U$3))),         0      ),      0   ),0)</f>
        <v/>
      </c>
      <c r="V11">
        <f>IFERROR(   IF(      AND(ISNUMBER(VALUE(V$3)), ISNUMBER(VALUE(V10))),      IF(         MAX(ABS(VALUE(V10)),ABS(VALUE(V$3)))&lt;&gt;0,         MIN(ABS(VALUE(V10)),ABS(VALUE(V$3)))/MAX(ABS(VALUE(V10)),ABS(VALUE(V$3))),         0      ),      0   ),0)</f>
        <v/>
      </c>
      <c r="W11">
        <f>IFERROR(   IF(      AND(ISNUMBER(VALUE(W$3)), ISNUMBER(VALUE(W10))),      IF(         MAX(ABS(VALUE(W10)),ABS(VALUE(W$3)))&lt;&gt;0,         MIN(ABS(VALUE(W10)),ABS(VALUE(W$3)))/MAX(ABS(VALUE(W10)),ABS(VALUE(W$3))),         0      ),      0   ),0)</f>
        <v/>
      </c>
      <c r="X11">
        <f>IFERROR(   IF(      AND(ISNUMBER(VALUE(X$3)), ISNUMBER(VALUE(X10))),      IF(         MAX(ABS(VALUE(X10)),ABS(VALUE(X$3)))&lt;&gt;0,         MIN(ABS(VALUE(X10)),ABS(VALUE(X$3)))/MAX(ABS(VALUE(X10)),ABS(VALUE(X$3))),         0      ),      0   ),0)</f>
        <v/>
      </c>
      <c r="Y11">
        <f>IFERROR(   IF(      AND(ISNUMBER(VALUE(Y$3)), ISNUMBER(VALUE(Y10))),      IF(         MAX(ABS(VALUE(Y10)),ABS(VALUE(Y$3)))&lt;&gt;0,         MIN(ABS(VALUE(Y10)),ABS(VALUE(Y$3)))/MAX(ABS(VALUE(Y10)),ABS(VALUE(Y$3))),         0      ),      0   ),0)</f>
        <v/>
      </c>
      <c r="Z11">
        <f>IFERROR(   IF(      AND(ISNUMBER(VALUE(Z$3)), ISNUMBER(VALUE(Z10))),      IF(         MAX(ABS(VALUE(Z10)),ABS(VALUE(Z$3)))&lt;&gt;0,         MIN(ABS(VALUE(Z10)),ABS(VALUE(Z$3)))/MAX(ABS(VALUE(Z10)),ABS(VALUE(Z$3))),         0      ),      0   ),0)</f>
        <v/>
      </c>
      <c r="AA11" t="n">
        <v>1</v>
      </c>
    </row>
    <row r="12">
      <c r="A12" t="inlineStr">
        <is>
          <t>vaspagent</t>
        </is>
      </c>
      <c r="B12" t="inlineStr">
        <is>
          <t>计算值</t>
        </is>
      </c>
      <c r="C12" t="n">
        <v>5.4109</v>
      </c>
      <c r="D12" t="n">
        <v>3.2326</v>
      </c>
      <c r="E12" t="n">
        <v>6.4861</v>
      </c>
      <c r="F12" t="n">
        <v>3.8058</v>
      </c>
      <c r="G12" t="n">
        <v>5.7593</v>
      </c>
      <c r="H12" t="n">
        <v>2.204</v>
      </c>
      <c r="I12" t="n">
        <v>1.5585</v>
      </c>
      <c r="J12" t="n">
        <v>1.4521</v>
      </c>
      <c r="K12" t="n">
        <v>2.0469</v>
      </c>
      <c r="L12" t="n">
        <v>4.1264</v>
      </c>
      <c r="M12" t="n">
        <v>1.0521</v>
      </c>
      <c r="N12" t="n">
        <v>3.2058</v>
      </c>
      <c r="O12" t="n">
        <v>2.328</v>
      </c>
      <c r="P12" t="n">
        <v>1.37</v>
      </c>
      <c r="Q12" t="n">
        <v>1.4167</v>
      </c>
      <c r="R12" t="n">
        <v>1.2762</v>
      </c>
      <c r="S12" t="n">
        <v>2.1349</v>
      </c>
      <c r="T12" t="n">
        <v>0.8856000000000001</v>
      </c>
      <c r="U12" t="n">
        <v>0.8309</v>
      </c>
      <c r="V12" t="n">
        <v>1.1713</v>
      </c>
      <c r="W12" t="n">
        <v>3.1756</v>
      </c>
      <c r="X12" t="n">
        <v>2.7884</v>
      </c>
      <c r="Y12" t="n">
        <v>2.5077</v>
      </c>
      <c r="Z12" t="n">
        <v>3.4052</v>
      </c>
      <c r="AA12" t="n">
        <v>1</v>
      </c>
    </row>
    <row r="13">
      <c r="B13" t="inlineStr">
        <is>
          <t>得分</t>
        </is>
      </c>
      <c r="C13">
        <f>IFERROR(IF(AND(ISNUMBER(VALUE(C$3)),ISNUMBER(VALUE(C12))),IF(MAX(ABS(VALUE(C12)),ABS(VALUE(C$3)))&lt;&gt;0,MIN(ABS(VALUE(C12)),ABS(VALUE(C$3)))/MAX(ABS(VALUE(C12)),ABS(VALUE(C$3))),0),0),0)</f>
        <v/>
      </c>
      <c r="D13">
        <f>IFERROR(IF(AND(ISNUMBER(VALUE(D$3)),ISNUMBER(VALUE(D12))),IF(MAX(ABS(VALUE(D12)),ABS(VALUE(D$3)))&lt;&gt;0,MIN(ABS(VALUE(D12)),ABS(VALUE(D$3)))/MAX(ABS(VALUE(D12)),ABS(VALUE(D$3))),0),0),0)</f>
        <v/>
      </c>
      <c r="E13">
        <f>IFERROR(IF(AND(ISNUMBER(VALUE(E$3)),ISNUMBER(VALUE(E12))),IF(MAX(ABS(VALUE(E12)),ABS(VALUE(E$3)))&lt;&gt;0,MIN(ABS(VALUE(E12)),ABS(VALUE(E$3)))/MAX(ABS(VALUE(E12)),ABS(VALUE(E$3))),0),0),0)</f>
        <v/>
      </c>
      <c r="F13">
        <f>IFERROR(IF(AND(ISNUMBER(VALUE(F$3)),ISNUMBER(VALUE(F12))),IF(MAX(ABS(VALUE(F12)),ABS(VALUE(F$3)))&lt;&gt;0,MIN(ABS(VALUE(F12)),ABS(VALUE(F$3)))/MAX(ABS(VALUE(F12)),ABS(VALUE(F$3))),0),0),0)</f>
        <v/>
      </c>
      <c r="G13">
        <f>IFERROR(IF(AND(ISNUMBER(VALUE(G$3)),ISNUMBER(VALUE(G12))),IF(MAX(ABS(VALUE(G12)),ABS(VALUE(G$3)))&lt;&gt;0,MIN(ABS(VALUE(G12)),ABS(VALUE(G$3)))/MAX(ABS(VALUE(G12)),ABS(VALUE(G$3))),0),0),0)</f>
        <v/>
      </c>
      <c r="H13">
        <f>IFERROR(IF(AND(ISNUMBER(VALUE(H$3)),ISNUMBER(VALUE(H12))),IF(MAX(ABS(VALUE(H12)),ABS(VALUE(H$3)))&lt;&gt;0,MIN(ABS(VALUE(H12)),ABS(VALUE(H$3)))/MAX(ABS(VALUE(H12)),ABS(VALUE(H$3))),0),0),0)</f>
        <v/>
      </c>
      <c r="I13">
        <f>IFERROR(IF(AND(ISNUMBER(VALUE(I$3)),ISNUMBER(VALUE(I12))),IF(MAX(ABS(VALUE(I12)),ABS(VALUE(I$3)))&lt;&gt;0,MIN(ABS(VALUE(I12)),ABS(VALUE(I$3)))/MAX(ABS(VALUE(I12)),ABS(VALUE(I$3))),0),0),0)</f>
        <v/>
      </c>
      <c r="J13">
        <f>IFERROR(IF(AND(ISNUMBER(VALUE(J$3)),ISNUMBER(VALUE(J12))),IF(MAX(ABS(VALUE(J12)),ABS(VALUE(J$3)))&lt;&gt;0,MIN(ABS(VALUE(J12)),ABS(VALUE(J$3)))/MAX(ABS(VALUE(J12)),ABS(VALUE(J$3))),0),0),0)</f>
        <v/>
      </c>
      <c r="K13">
        <f>IFERROR(IF(AND(ISNUMBER(VALUE(K$3)),ISNUMBER(VALUE(K12))),IF(MAX(ABS(VALUE(K12)),ABS(VALUE(K$3)))&lt;&gt;0,MIN(ABS(VALUE(K12)),ABS(VALUE(K$3)))/MAX(ABS(VALUE(K12)),ABS(VALUE(K$3))),0),0),0)</f>
        <v/>
      </c>
      <c r="L13">
        <f>IFERROR(IF(AND(ISNUMBER(VALUE(L$3)),ISNUMBER(VALUE(L12))),IF(MAX(ABS(VALUE(L12)),ABS(VALUE(L$3)))&lt;&gt;0,MIN(ABS(VALUE(L12)),ABS(VALUE(L$3)))/MAX(ABS(VALUE(L12)),ABS(VALUE(L$3))),0),0),0)</f>
        <v/>
      </c>
      <c r="M13">
        <f>IFERROR(IF(AND(ISNUMBER(VALUE(M$3)),ISNUMBER(VALUE(M12))),IF(MAX(ABS(VALUE(M12)),ABS(VALUE(M$3)))&lt;&gt;0,MIN(ABS(VALUE(M12)),ABS(VALUE(M$3)))/MAX(ABS(VALUE(M12)),ABS(VALUE(M$3))),0),0),0)</f>
        <v/>
      </c>
      <c r="N13">
        <f>IFERROR(IF(AND(ISNUMBER(VALUE(N$3)),ISNUMBER(VALUE(N12))),IF(MAX(ABS(VALUE(N12)),ABS(VALUE(N$3)))&lt;&gt;0,MIN(ABS(VALUE(N12)),ABS(VALUE(N$3)))/MAX(ABS(VALUE(N12)),ABS(VALUE(N$3))),0),0),0)</f>
        <v/>
      </c>
      <c r="O13">
        <f>IFERROR(IF(AND(ISNUMBER(VALUE(O$3)),ISNUMBER(VALUE(O12))),IF(MAX(ABS(VALUE(O12)),ABS(VALUE(O$3)))&lt;&gt;0,MIN(ABS(VALUE(O12)),ABS(VALUE(O$3)))/MAX(ABS(VALUE(O12)),ABS(VALUE(O$3))),0),0),0)</f>
        <v/>
      </c>
      <c r="P13">
        <f>IFERROR(IF(AND(ISNUMBER(VALUE(P$3)),ISNUMBER(VALUE(P12))),IF(MAX(ABS(VALUE(P12)),ABS(VALUE(P$3)))&lt;&gt;0,MIN(ABS(VALUE(P12)),ABS(VALUE(P$3)))/MAX(ABS(VALUE(P12)),ABS(VALUE(P$3))),0),0),0)</f>
        <v/>
      </c>
      <c r="Q13">
        <f>IFERROR(IF(AND(ISNUMBER(VALUE(Q$3)),ISNUMBER(VALUE(Q12))),IF(MAX(ABS(VALUE(Q12)),ABS(VALUE(Q$3)))&lt;&gt;0,MIN(ABS(VALUE(Q12)),ABS(VALUE(Q$3)))/MAX(ABS(VALUE(Q12)),ABS(VALUE(Q$3))),0),0),0)</f>
        <v/>
      </c>
      <c r="R13">
        <f>IFERROR(IF(AND(ISNUMBER(VALUE(R$3)),ISNUMBER(VALUE(R12))),IF(MAX(ABS(VALUE(R12)),ABS(VALUE(R$3)))&lt;&gt;0,MIN(ABS(VALUE(R12)),ABS(VALUE(R$3)))/MAX(ABS(VALUE(R12)),ABS(VALUE(R$3))),0),0),0)</f>
        <v/>
      </c>
      <c r="S13">
        <f>IFERROR(IF(AND(ISNUMBER(VALUE(S$3)),ISNUMBER(VALUE(S12))),IF(MAX(ABS(VALUE(S12)),ABS(VALUE(S$3)))&lt;&gt;0,MIN(ABS(VALUE(S12)),ABS(VALUE(S$3)))/MAX(ABS(VALUE(S12)),ABS(VALUE(S$3))),0),0),0)</f>
        <v/>
      </c>
      <c r="T13">
        <f>IFERROR(IF(AND(ISNUMBER(VALUE(T$3)),ISNUMBER(VALUE(T12))),IF(MAX(ABS(VALUE(T12)),ABS(VALUE(T$3)))&lt;&gt;0,MIN(ABS(VALUE(T12)),ABS(VALUE(T$3)))/MAX(ABS(VALUE(T12)),ABS(VALUE(T$3))),0),0),0)</f>
        <v/>
      </c>
      <c r="U13">
        <f>IFERROR(IF(AND(ISNUMBER(VALUE(U$3)),ISNUMBER(VALUE(U12))),IF(MAX(ABS(VALUE(U12)),ABS(VALUE(U$3)))&lt;&gt;0,MIN(ABS(VALUE(U12)),ABS(VALUE(U$3)))/MAX(ABS(VALUE(U12)),ABS(VALUE(U$3))),0),0),0)</f>
        <v/>
      </c>
      <c r="V13">
        <f>IFERROR(IF(AND(ISNUMBER(VALUE(V$3)),ISNUMBER(VALUE(V12))),IF(MAX(ABS(VALUE(V12)),ABS(VALUE(V$3)))&lt;&gt;0,MIN(ABS(VALUE(V12)),ABS(VALUE(V$3)))/MAX(ABS(VALUE(V12)),ABS(VALUE(V$3))),0),0),0)</f>
        <v/>
      </c>
      <c r="W13">
        <f>IFERROR(IF(AND(ISNUMBER(VALUE(W$3)),ISNUMBER(VALUE(W12))),IF(MAX(ABS(VALUE(W12)),ABS(VALUE(W$3)))&lt;&gt;0,MIN(ABS(VALUE(W12)),ABS(VALUE(W$3)))/MAX(ABS(VALUE(W12)),ABS(VALUE(W$3))),0),0),0)</f>
        <v/>
      </c>
      <c r="X13">
        <f>IFERROR(IF(AND(ISNUMBER(VALUE(X$3)),ISNUMBER(VALUE(X12))),IF(MAX(ABS(VALUE(X12)),ABS(VALUE(X$3)))&lt;&gt;0,MIN(ABS(VALUE(X12)),ABS(VALUE(X$3)))/MAX(ABS(VALUE(X12)),ABS(VALUE(X$3))),0),0),0)</f>
        <v/>
      </c>
      <c r="Y13">
        <f>IFERROR(IF(AND(ISNUMBER(VALUE(Y$3)),ISNUMBER(VALUE(Y12))),IF(MAX(ABS(VALUE(Y12)),ABS(VALUE(Y$3)))&lt;&gt;0,MIN(ABS(VALUE(Y12)),ABS(VALUE(Y$3)))/MAX(ABS(VALUE(Y12)),ABS(VALUE(Y$3))),0),0),0)</f>
        <v/>
      </c>
      <c r="Z13">
        <f>IFERROR(IF(AND(ISNUMBER(VALUE(Z$3)),ISNUMBER(VALUE(Z12))),IF(MAX(ABS(VALUE(Z12)),ABS(VALUE(Z$3)))&lt;&gt;0,MIN(ABS(VALUE(Z12)),ABS(VALUE(Z$3)))/MAX(ABS(VALUE(Z12)),ABS(VALUE(Z$3))),0),0),0)</f>
        <v/>
      </c>
      <c r="AA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90" customWidth="1" min="3" max="3"/>
    <col width="16" customWidth="1" min="4" max="4"/>
  </cols>
  <sheetData>
    <row r="1">
      <c r="A1" t="inlineStr">
        <is>
          <t>material</t>
        </is>
      </c>
      <c r="B1" t="inlineStr">
        <is>
          <t>bandgap_eV</t>
        </is>
      </c>
      <c r="C1" t="inlineStr">
        <is>
          <t>chosen_dir</t>
        </is>
      </c>
      <c r="D1" t="inlineStr">
        <is>
          <t>candidate_count</t>
        </is>
      </c>
    </row>
    <row r="2">
      <c r="A2" t="inlineStr">
        <is>
          <t>AlN</t>
        </is>
      </c>
      <c r="B2" t="n">
        <v>5.4109</v>
      </c>
      <c r="C2" t="inlineStr">
        <is>
          <t>runs/2026_04_04/bandgap_hse_qwen3.5-397b-a17b-00_30_50/AlN</t>
        </is>
      </c>
      <c r="D2" t="n">
        <v>4</v>
      </c>
    </row>
    <row r="3">
      <c r="A3" t="inlineStr">
        <is>
          <t>B6P</t>
        </is>
      </c>
      <c r="B3" t="n">
        <v>3.23264</v>
      </c>
      <c r="C3" t="inlineStr">
        <is>
          <t>runs/2026_04_04/bandgap_hse_gemini-3.1-pro-preview-19_53_36/B6P</t>
        </is>
      </c>
      <c r="D3" t="n">
        <v>4</v>
      </c>
    </row>
    <row r="4">
      <c r="A4" t="inlineStr">
        <is>
          <t>BN</t>
        </is>
      </c>
      <c r="B4" t="n">
        <v>6.486145</v>
      </c>
      <c r="C4" t="inlineStr">
        <is>
          <t>runs/2026_04_04/bandgap_hse_gpt-5.2-2025-12-11-19_42_32/BN</t>
        </is>
      </c>
      <c r="D4" t="n">
        <v>4</v>
      </c>
    </row>
    <row r="5">
      <c r="A5" t="inlineStr">
        <is>
          <t>BaO2</t>
        </is>
      </c>
      <c r="B5" t="n">
        <v>3.805844</v>
      </c>
      <c r="C5" t="inlineStr">
        <is>
          <t>runs/2026_04_04/bandgap_hse_gpt-5.2-2025-12-11-19_42_32/BaO2</t>
        </is>
      </c>
      <c r="D5" t="n">
        <v>4</v>
      </c>
    </row>
    <row r="6">
      <c r="A6" t="inlineStr">
        <is>
          <t>C</t>
        </is>
      </c>
      <c r="B6" t="n">
        <v>5.759259</v>
      </c>
      <c r="C6" t="inlineStr">
        <is>
          <t>runs/2026_04_04/bandgap_hse_qwen3.5-397b-a17b-00_30_50/C</t>
        </is>
      </c>
      <c r="D6" t="n">
        <v>4</v>
      </c>
    </row>
    <row r="7">
      <c r="A7" t="inlineStr">
        <is>
          <t>CdS</t>
        </is>
      </c>
      <c r="B7" t="n">
        <v>2.203981</v>
      </c>
      <c r="C7" t="inlineStr">
        <is>
          <t>runs/2026_04_04/bandgap_hse_gemini-3.1-pro-preview-19_53_36/CdS</t>
        </is>
      </c>
      <c r="D7" t="n">
        <v>4</v>
      </c>
    </row>
    <row r="8">
      <c r="A8" t="inlineStr">
        <is>
          <t>CdSe</t>
        </is>
      </c>
      <c r="B8" t="n">
        <v>1.558526</v>
      </c>
      <c r="C8" t="inlineStr">
        <is>
          <t>runs/2026_04_04/bandgap_hse_gemini-3.1-pro-preview-19_53_36/CdSe</t>
        </is>
      </c>
      <c r="D8" t="n">
        <v>4</v>
      </c>
    </row>
    <row r="9">
      <c r="A9" t="inlineStr">
        <is>
          <t>CdTe</t>
        </is>
      </c>
      <c r="B9" t="n">
        <v>1.452052</v>
      </c>
      <c r="C9" t="inlineStr">
        <is>
          <t>runs/2026_04_04/bandgap_hse_gemini-3.1-pro-preview-19_53_36/CdTe</t>
        </is>
      </c>
      <c r="D9" t="n">
        <v>4</v>
      </c>
    </row>
    <row r="10">
      <c r="A10" t="inlineStr">
        <is>
          <t>Cu2O</t>
        </is>
      </c>
      <c r="B10" t="n">
        <v>2.046931</v>
      </c>
      <c r="C10" t="inlineStr">
        <is>
          <t>runs/2026_04_04/bandgap_hse_qwen3.5-397b-a17b-00_30_50/Cu2O</t>
        </is>
      </c>
      <c r="D10" t="n">
        <v>4</v>
      </c>
    </row>
    <row r="11">
      <c r="A11" t="inlineStr">
        <is>
          <t>Ga2O3</t>
        </is>
      </c>
      <c r="B11" t="n">
        <v>4.126395</v>
      </c>
      <c r="C11" t="inlineStr">
        <is>
          <t>runs/2026_04_04/bandgap_hse_deepseek-ai/DeepSeek-V3.2-00_18_56/Ga2O3</t>
        </is>
      </c>
      <c r="D11" t="n">
        <v>4</v>
      </c>
    </row>
    <row r="12">
      <c r="A12" t="inlineStr">
        <is>
          <t>GaAs</t>
        </is>
      </c>
      <c r="B12" t="n">
        <v>1.052079</v>
      </c>
      <c r="C12" t="inlineStr">
        <is>
          <t>runs/2026_04_04/bandgap_hse_deepseek-ai/DeepSeek-V3.2-00_18_56/GaAs</t>
        </is>
      </c>
      <c r="D12" t="n">
        <v>4</v>
      </c>
    </row>
    <row r="13">
      <c r="A13" t="inlineStr">
        <is>
          <t>GaN</t>
        </is>
      </c>
      <c r="B13" t="n">
        <v>3.205778</v>
      </c>
      <c r="C13" t="inlineStr">
        <is>
          <t>runs/2026_04_04/bandgap_hse_deepseek-ai/DeepSeek-V3.2-00_18_56/GaN</t>
        </is>
      </c>
      <c r="D13" t="n">
        <v>4</v>
      </c>
    </row>
    <row r="14">
      <c r="A14" t="inlineStr">
        <is>
          <t>GaP</t>
        </is>
      </c>
      <c r="B14" t="n">
        <v>2.328035</v>
      </c>
      <c r="C14" t="inlineStr">
        <is>
          <t>runs/2026_04_04/bandgap_hse_gpt-5.2-2025-12-11-19_42_32/GaP</t>
        </is>
      </c>
      <c r="D14" t="n">
        <v>4</v>
      </c>
    </row>
    <row r="15">
      <c r="A15" t="inlineStr">
        <is>
          <t>InGaP2</t>
        </is>
      </c>
      <c r="B15" t="n">
        <v>1.370006</v>
      </c>
      <c r="C15" t="inlineStr">
        <is>
          <t>runs/2026_04_04/bandgap_hse_qwen3.5-397b-a17b-00_30_50/InGaP2</t>
        </is>
      </c>
      <c r="D15" t="n">
        <v>4</v>
      </c>
    </row>
    <row r="16">
      <c r="A16" t="inlineStr">
        <is>
          <t>InP</t>
        </is>
      </c>
      <c r="B16" t="n">
        <v>1.416702</v>
      </c>
      <c r="C16" t="inlineStr">
        <is>
          <t>runs/2026_04_04/bandgap_hse_gemini-3.1-pro-preview-19_53_36/InP</t>
        </is>
      </c>
      <c r="D16" t="n">
        <v>4</v>
      </c>
    </row>
    <row r="17">
      <c r="A17" t="inlineStr">
        <is>
          <t>InSe</t>
        </is>
      </c>
      <c r="B17" t="n">
        <v>1.276222</v>
      </c>
      <c r="C17" t="inlineStr">
        <is>
          <t>runs/2026_04_04/bandgap_hse_deepseek-ai/DeepSeek-V3.2-00_18_56/InSe</t>
        </is>
      </c>
      <c r="D17" t="n">
        <v>4</v>
      </c>
    </row>
    <row r="18">
      <c r="A18" t="inlineStr">
        <is>
          <t>MoS2</t>
        </is>
      </c>
      <c r="B18" t="n">
        <v>2.134895</v>
      </c>
      <c r="C18" t="inlineStr">
        <is>
          <t>runs/2026_04_04/bandgap_hse_qwen3.5-397b-a17b-00_30_50/MoS2</t>
        </is>
      </c>
      <c r="D18" t="n">
        <v>3</v>
      </c>
    </row>
    <row r="19">
      <c r="A19" t="inlineStr">
        <is>
          <t>PbS</t>
        </is>
      </c>
      <c r="B19" t="n">
        <v>0.88557</v>
      </c>
      <c r="C19" t="inlineStr">
        <is>
          <t>runs/2026_04_04/bandgap_hse_qwen3.5-397b-a17b-00_30_50/PbS</t>
        </is>
      </c>
      <c r="D19" t="n">
        <v>3</v>
      </c>
    </row>
    <row r="20">
      <c r="A20" t="inlineStr">
        <is>
          <t>PbSe</t>
        </is>
      </c>
      <c r="B20" t="n">
        <v>0.830901</v>
      </c>
      <c r="C20" t="inlineStr">
        <is>
          <t>runs/2026_04_04/bandgap_hse_gemini-3.1-pro-preview-19_53_36/PbSe</t>
        </is>
      </c>
      <c r="D20" t="n">
        <v>3</v>
      </c>
    </row>
    <row r="21">
      <c r="A21" t="inlineStr">
        <is>
          <t>Si</t>
        </is>
      </c>
      <c r="B21" t="n">
        <v>1.171328</v>
      </c>
      <c r="C21" t="inlineStr">
        <is>
          <t>runs/2026_04_04/bandgap_hse_deepseek-ai/DeepSeek-V3.2-00_18_56/Si</t>
        </is>
      </c>
      <c r="D21" t="n">
        <v>4</v>
      </c>
    </row>
    <row r="22">
      <c r="A22" t="inlineStr">
        <is>
          <t>SiC</t>
        </is>
      </c>
      <c r="B22" t="n">
        <v>3.175574</v>
      </c>
      <c r="C22" t="inlineStr">
        <is>
          <t>runs/2026_04_04/bandgap_hse_gpt-5.2-2025-12-11-19_42_32/SiC</t>
        </is>
      </c>
      <c r="D22" t="n">
        <v>4</v>
      </c>
    </row>
    <row r="23">
      <c r="A23" t="inlineStr">
        <is>
          <t>SnO2</t>
        </is>
      </c>
      <c r="B23" t="n">
        <v>2.788375</v>
      </c>
      <c r="C23" t="inlineStr">
        <is>
          <t>runs/2026_04_04/bandgap_hse_deepseek-ai/DeepSeek-V3.2-00_18_56/SnO2</t>
        </is>
      </c>
      <c r="D23" t="n">
        <v>4</v>
      </c>
    </row>
    <row r="24">
      <c r="A24" t="inlineStr">
        <is>
          <t>ZnO</t>
        </is>
      </c>
      <c r="B24" t="n">
        <v>2.507679</v>
      </c>
      <c r="C24" t="inlineStr">
        <is>
          <t>runs/2026_04_04/bandgap_hse_deepseek-ai/DeepSeek-V3.2-00_18_56/ZnO</t>
        </is>
      </c>
      <c r="D24" t="n">
        <v>4</v>
      </c>
    </row>
    <row r="25">
      <c r="A25" t="inlineStr">
        <is>
          <t>ZnS</t>
        </is>
      </c>
      <c r="B25" t="n">
        <v>3.405225</v>
      </c>
      <c r="C25" t="inlineStr">
        <is>
          <t>runs/2026_04_04/bandgap_hse_deepseek-ai/DeepSeek-V3.2-00_18_56/ZnS</t>
        </is>
      </c>
      <c r="D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2026-04-05T14:36:42Z</dcterms:created>
  <dcterms:modified xmlns:dcterms="http://purl.org/dc/terms/" xmlns:xsi="http://www.w3.org/2001/XMLSchema-instance" xsi:type="dcterms:W3CDTF">2026-05-08T15:35:08Z</dcterms:modified>
</cp:coreProperties>
</file>