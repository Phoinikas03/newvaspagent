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x" sheetId="1" state="visible" r:id="rId1"/>
    <sheet xmlns:r="http://schemas.openxmlformats.org/officeDocument/2006/relationships" name="bandgap" sheetId="2" state="visible" r:id="rId2"/>
    <sheet xmlns:r="http://schemas.openxmlformats.org/officeDocument/2006/relationships" name="lattice_consta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4" customWidth="1" min="20" max="20"/>
    <col width="14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4" customWidth="1" min="43" max="43"/>
  </cols>
  <sheetData>
    <row r="1">
      <c r="A1" s="1" t="inlineStr">
        <is>
          <t xml:space="preserve"> </t>
        </is>
      </c>
      <c r="B1" s="1" t="n"/>
      <c r="C1" s="1" t="inlineStr">
        <is>
          <t>Al</t>
        </is>
      </c>
      <c r="D1" s="1" t="inlineStr">
        <is>
          <t>AlN</t>
        </is>
      </c>
      <c r="E1" s="1" t="inlineStr">
        <is>
          <t>Au</t>
        </is>
      </c>
      <c r="F1" s="1" t="inlineStr">
        <is>
          <t>BaFeO3</t>
        </is>
      </c>
      <c r="G1" s="1" t="inlineStr">
        <is>
          <t>BaTiO3</t>
        </is>
      </c>
      <c r="H1" s="1" t="inlineStr">
        <is>
          <t>Bi2Te3</t>
        </is>
      </c>
      <c r="I1" s="1" t="inlineStr">
        <is>
          <t>BN</t>
        </is>
      </c>
      <c r="J1" s="1" t="inlineStr">
        <is>
          <t>CaCO3</t>
        </is>
      </c>
      <c r="K1" s="1" t="inlineStr">
        <is>
          <t>CaF2</t>
        </is>
      </c>
      <c r="L1" s="1" t="inlineStr">
        <is>
          <t>CoSb3</t>
        </is>
      </c>
      <c r="M1" s="1" t="inlineStr">
        <is>
          <t>Cr</t>
        </is>
      </c>
      <c r="N1" s="1" t="inlineStr">
        <is>
          <t>Cu</t>
        </is>
      </c>
      <c r="O1" s="1" t="inlineStr">
        <is>
          <t>Fe</t>
        </is>
      </c>
      <c r="P1" s="1" t="inlineStr">
        <is>
          <t>FeS2</t>
        </is>
      </c>
      <c r="Q1" s="1" t="inlineStr">
        <is>
          <t>FeSe</t>
        </is>
      </c>
      <c r="R1" s="1" t="inlineStr">
        <is>
          <t>Li2S</t>
        </is>
      </c>
      <c r="S1" s="1" t="inlineStr">
        <is>
          <t>Li4Ti5O12</t>
        </is>
      </c>
      <c r="T1" s="1" t="inlineStr">
        <is>
          <t>Li7La3Zr2O12</t>
        </is>
      </c>
      <c r="U1" s="1" t="inlineStr">
        <is>
          <t>Li10Ge(PS6)2</t>
        </is>
      </c>
      <c r="V1" s="1" t="inlineStr">
        <is>
          <t>LiCoO2</t>
        </is>
      </c>
      <c r="W1" s="1" t="inlineStr">
        <is>
          <t>LiFeAs</t>
        </is>
      </c>
      <c r="X1" s="1" t="inlineStr">
        <is>
          <t>LiFePO4</t>
        </is>
      </c>
      <c r="Y1" s="1" t="inlineStr">
        <is>
          <t>LiMn2O4</t>
        </is>
      </c>
      <c r="Z1" s="1" t="inlineStr">
        <is>
          <t>LiNbO3</t>
        </is>
      </c>
      <c r="AA1" s="1" t="inlineStr">
        <is>
          <t>Mg</t>
        </is>
      </c>
      <c r="AB1" s="1" t="inlineStr">
        <is>
          <t>MgB2</t>
        </is>
      </c>
      <c r="AC1" s="1" t="inlineStr">
        <is>
          <t>MgO</t>
        </is>
      </c>
      <c r="AD1" s="1" t="inlineStr">
        <is>
          <t>NaCl</t>
        </is>
      </c>
      <c r="AE1" s="1" t="inlineStr">
        <is>
          <t>Nb3Sn</t>
        </is>
      </c>
      <c r="AF1" s="1" t="inlineStr">
        <is>
          <t>NbN</t>
        </is>
      </c>
      <c r="AG1" s="1" t="inlineStr">
        <is>
          <t>Ni</t>
        </is>
      </c>
      <c r="AH1" s="1" t="inlineStr">
        <is>
          <t>Sb2Te3</t>
        </is>
      </c>
      <c r="AI1" s="1" t="inlineStr">
        <is>
          <t>SiO2</t>
        </is>
      </c>
      <c r="AJ1" s="1" t="inlineStr">
        <is>
          <t>SnSe</t>
        </is>
      </c>
      <c r="AK1" s="1" t="inlineStr">
        <is>
          <t>Sr2RuO4</t>
        </is>
      </c>
      <c r="AL1" s="1" t="inlineStr">
        <is>
          <t>TePb</t>
        </is>
      </c>
      <c r="AM1" s="1" t="inlineStr">
        <is>
          <t>Ti</t>
        </is>
      </c>
      <c r="AN1" s="1" t="inlineStr">
        <is>
          <t>TiC</t>
        </is>
      </c>
      <c r="AO1" s="1" t="inlineStr">
        <is>
          <t>TiPbO3</t>
        </is>
      </c>
      <c r="AP1" s="1" t="inlineStr">
        <is>
          <t>Zn</t>
        </is>
      </c>
      <c r="AQ1" s="1" t="inlineStr">
        <is>
          <t>success rate</t>
        </is>
      </c>
    </row>
    <row r="2">
      <c r="A2" s="2" t="n"/>
      <c r="B2" s="2" t="inlineStr">
        <is>
          <t>初始状态结构相似度</t>
        </is>
      </c>
      <c r="C2" s="3" t="n">
        <v>0.99995999</v>
      </c>
      <c r="D2" s="3" t="n">
        <v>0.99995008</v>
      </c>
      <c r="E2" s="3" t="n">
        <v>0.99961612</v>
      </c>
      <c r="F2" s="3" t="n">
        <v>0.99921458</v>
      </c>
      <c r="G2" s="3" t="n">
        <v>0.99996365</v>
      </c>
      <c r="H2" s="3" t="n">
        <v>0.99032497</v>
      </c>
      <c r="I2" s="3" t="n">
        <v>0.99997258</v>
      </c>
      <c r="J2" s="3" t="n">
        <v>0.99946006</v>
      </c>
      <c r="K2" s="3" t="n">
        <v>0.99971878</v>
      </c>
      <c r="L2" s="3" t="n">
        <v>0.99992272</v>
      </c>
      <c r="M2" s="3" t="n">
        <v>0.99639906</v>
      </c>
      <c r="N2" s="3" t="n">
        <v>0.99995604</v>
      </c>
      <c r="O2" s="3" t="n">
        <v>0.99972433</v>
      </c>
      <c r="P2" s="3" t="n">
        <v>0.99997761</v>
      </c>
      <c r="Q2" s="3" t="n">
        <v>0.9878578</v>
      </c>
      <c r="R2" s="3" t="n">
        <v>0.99989604</v>
      </c>
      <c r="S2" s="3" t="n">
        <v>0.9998920100000001</v>
      </c>
      <c r="T2" s="3" t="n">
        <v>0.99999278</v>
      </c>
      <c r="U2" s="3" t="n">
        <v>0.99999156</v>
      </c>
      <c r="V2" s="3" t="n">
        <v>0.99991994</v>
      </c>
      <c r="W2" s="3" t="n">
        <v>0.9994608</v>
      </c>
      <c r="X2" s="3" t="n">
        <v>0.99983261</v>
      </c>
      <c r="Y2" s="3" t="n">
        <v>0.99871168</v>
      </c>
      <c r="Z2" s="3" t="n">
        <v>0.99990011</v>
      </c>
      <c r="AA2" s="3" t="n">
        <v>0.99993784</v>
      </c>
      <c r="AB2" s="3" t="n">
        <v>0.99998472</v>
      </c>
      <c r="AC2" s="3" t="n">
        <v>0.99967848</v>
      </c>
      <c r="AD2" s="3" t="n">
        <v>0.99762365</v>
      </c>
      <c r="AE2" s="3" t="n">
        <v>0.99998635</v>
      </c>
      <c r="AF2" s="3" t="n">
        <v>0.99965779</v>
      </c>
      <c r="AG2" s="3" t="n">
        <v>0.99997708</v>
      </c>
      <c r="AH2" s="3" t="n">
        <v>0.9954925100000001</v>
      </c>
      <c r="AI2" s="3" t="n">
        <v>0.9996283</v>
      </c>
      <c r="AJ2" s="3" t="n">
        <v>0.99984547</v>
      </c>
      <c r="AK2" s="3" t="n">
        <v>0.99990358</v>
      </c>
      <c r="AL2" s="3" t="n">
        <v>0.99981197</v>
      </c>
      <c r="AM2" s="3" t="n">
        <v>0.9995819500000001</v>
      </c>
      <c r="AN2" s="3" t="n">
        <v>0.99997777</v>
      </c>
      <c r="AO2" s="3" t="n">
        <v>0.9996426899999999</v>
      </c>
      <c r="AP2" s="3" t="n">
        <v>0.99956931</v>
      </c>
      <c r="AQ2" s="2" t="n"/>
    </row>
    <row r="3">
      <c r="A3" s="2" t="n"/>
      <c r="B3" s="2" t="inlineStr">
        <is>
          <t>ground truth</t>
        </is>
      </c>
      <c r="C3" s="3" t="n">
        <v>-96.697761</v>
      </c>
      <c r="D3" s="3" t="n">
        <v>-225.47644</v>
      </c>
      <c r="E3" s="3" t="n">
        <v>-83.301998</v>
      </c>
      <c r="F3" s="3" t="n">
        <v>-240.74391</v>
      </c>
      <c r="G3" s="3" t="n">
        <v>-308.95261</v>
      </c>
      <c r="H3" s="3" t="n">
        <v>-67.632503</v>
      </c>
      <c r="I3" s="3" t="n">
        <v>-125.62003</v>
      </c>
      <c r="J3" s="3" t="n">
        <v>-287.64537</v>
      </c>
      <c r="K3" s="3" t="n">
        <v>-123.20731</v>
      </c>
      <c r="L3" s="3" t="n">
        <v>-152.38005</v>
      </c>
      <c r="M3" s="3" t="n">
        <v>-19.009246</v>
      </c>
      <c r="N3" s="3" t="n">
        <v>-96.274156</v>
      </c>
      <c r="O3" s="3" t="n">
        <v>-287.33924</v>
      </c>
      <c r="P3" s="3" t="n">
        <v>-133.5671</v>
      </c>
      <c r="Q3" s="3" t="n">
        <v>-188.51652</v>
      </c>
      <c r="R3" s="3" t="n">
        <v>-90.68375899999999</v>
      </c>
      <c r="S3" s="3" t="n">
        <v>-323.188</v>
      </c>
      <c r="T3" s="3" t="n">
        <v>-681.9350899999999</v>
      </c>
      <c r="U3" s="3" t="n">
        <v>-210.61632</v>
      </c>
      <c r="V3" s="3" t="n">
        <v>-177.59358</v>
      </c>
      <c r="W3" s="3" t="n">
        <v>-126.10372</v>
      </c>
      <c r="X3" s="3" t="n">
        <v>-185.03978</v>
      </c>
      <c r="Y3" s="3" t="n">
        <v>-283.08005</v>
      </c>
      <c r="Z3" s="3" t="n">
        <v>-306.40784</v>
      </c>
      <c r="AA3" s="3" t="n">
        <v>-33.84329</v>
      </c>
      <c r="AB3" s="3" t="n">
        <v>-118.43915</v>
      </c>
      <c r="AC3" s="3" t="n">
        <v>-132.68557</v>
      </c>
      <c r="AD3" s="3" t="n">
        <v>-75.130871</v>
      </c>
      <c r="AE3" s="3" t="n">
        <v>-266.50891</v>
      </c>
      <c r="AF3" s="3" t="n">
        <v>-232.33412</v>
      </c>
      <c r="AG3" s="3" t="n">
        <v>-141.24262</v>
      </c>
      <c r="AH3" s="3" t="n">
        <v>-141.13287</v>
      </c>
      <c r="AI3" s="3" t="n">
        <v>-167.40364</v>
      </c>
      <c r="AJ3" s="3" t="n">
        <v>-125.64805</v>
      </c>
      <c r="AK3" s="3" t="n">
        <v>-181.53594</v>
      </c>
      <c r="AL3" s="3" t="n">
        <v>-85.05330499999999</v>
      </c>
      <c r="AM3" s="3" t="n">
        <v>-115.03762</v>
      </c>
      <c r="AN3" s="3" t="n">
        <v>-132.7403</v>
      </c>
      <c r="AO3" s="3" t="n">
        <v>-279.29874</v>
      </c>
      <c r="AP3" s="3" t="n">
        <v>-16.461057</v>
      </c>
      <c r="AQ3" s="2" t="n"/>
    </row>
    <row r="4">
      <c r="A4" s="2" t="inlineStr">
        <is>
          <t>DeepSeek-V3.2</t>
        </is>
      </c>
      <c r="B4" s="2" t="inlineStr">
        <is>
          <t>E0（OSZICAR 终态）</t>
        </is>
      </c>
      <c r="C4" s="3" t="n">
        <v>-96.681971</v>
      </c>
      <c r="D4" s="3" t="n">
        <v>-225.34216</v>
      </c>
      <c r="E4" s="3" t="n">
        <v>-83.155033</v>
      </c>
      <c r="F4" s="2" t="inlineStr">
        <is>
          <t>/</t>
        </is>
      </c>
      <c r="G4" s="3" t="n">
        <v>-308.94808</v>
      </c>
      <c r="H4" s="3" t="n">
        <v>-67.640351</v>
      </c>
      <c r="I4" s="3" t="n">
        <v>-125.62211</v>
      </c>
      <c r="J4" s="3" t="n">
        <v>-287.4885</v>
      </c>
      <c r="K4" s="3" t="n">
        <v>-123.20649</v>
      </c>
      <c r="L4" s="3" t="n">
        <v>-152.38851</v>
      </c>
      <c r="M4" s="2" t="inlineStr">
        <is>
          <t>/</t>
        </is>
      </c>
      <c r="N4" s="3" t="n">
        <v>-96.171775</v>
      </c>
      <c r="O4" s="3" t="n">
        <v>-281.24852</v>
      </c>
      <c r="P4" s="2" t="inlineStr">
        <is>
          <t>/</t>
        </is>
      </c>
      <c r="Q4" s="3" t="n">
        <v>-127.27103</v>
      </c>
      <c r="R4" s="3" t="n">
        <v>-90.696434</v>
      </c>
      <c r="S4" s="3" t="n">
        <v>-323.18334</v>
      </c>
      <c r="T4" s="3" t="n">
        <v>-683.0006100000001</v>
      </c>
      <c r="U4" s="2" t="inlineStr">
        <is>
          <t>/</t>
        </is>
      </c>
      <c r="V4" s="3" t="n">
        <v>-177.83114</v>
      </c>
      <c r="W4" s="3" t="n">
        <v>-126.1812</v>
      </c>
      <c r="X4" s="3" t="n">
        <v>-186.5541</v>
      </c>
      <c r="Y4" s="3" t="n">
        <v>-300.69588</v>
      </c>
      <c r="Z4" s="3" t="n">
        <v>-306.36268</v>
      </c>
      <c r="AA4" s="3" t="n">
        <v>-33.850406</v>
      </c>
      <c r="AB4" s="3" t="n">
        <v>-118.42061</v>
      </c>
      <c r="AC4" s="3" t="n">
        <v>-132.6403</v>
      </c>
      <c r="AD4" s="3" t="n">
        <v>-75.11150499999999</v>
      </c>
      <c r="AE4" s="3" t="n">
        <v>-266.50186</v>
      </c>
      <c r="AF4" s="3" t="n">
        <v>-232.37684</v>
      </c>
      <c r="AG4" s="3" t="n">
        <v>-139.86194</v>
      </c>
      <c r="AH4" s="3" t="n">
        <v>-141.09757</v>
      </c>
      <c r="AI4" s="3" t="n">
        <v>-170.11993</v>
      </c>
      <c r="AJ4" s="3" t="n">
        <v>-126.23776</v>
      </c>
      <c r="AK4" s="3" t="n">
        <v>-181.42996</v>
      </c>
      <c r="AL4" s="3" t="n">
        <v>-85.06759099999999</v>
      </c>
      <c r="AM4" s="3" t="n">
        <v>-115.03192</v>
      </c>
      <c r="AN4" s="3" t="n">
        <v>-132.68025</v>
      </c>
      <c r="AO4" s="3" t="n">
        <v>-279.20366</v>
      </c>
      <c r="AP4" s="3" t="n">
        <v>-16.381884</v>
      </c>
      <c r="AQ4" s="3" t="n">
        <v>0.9</v>
      </c>
    </row>
    <row r="5">
      <c r="A5" s="2" t="inlineStr">
        <is>
          <t>gemini-3-pro-preview</t>
        </is>
      </c>
      <c r="B5" s="2" t="inlineStr">
        <is>
          <t>E0（OSZICAR 终态）</t>
        </is>
      </c>
      <c r="C5" s="3" t="n">
        <v>-96.67292500000001</v>
      </c>
      <c r="D5" s="3" t="n">
        <v>-225.34216</v>
      </c>
      <c r="E5" s="3" t="n">
        <v>-83.14432100000001</v>
      </c>
      <c r="F5" s="2" t="inlineStr">
        <is>
          <t>/</t>
        </is>
      </c>
      <c r="G5" s="3" t="n">
        <v>-308.94808</v>
      </c>
      <c r="H5" s="3" t="n">
        <v>-67.63561300000001</v>
      </c>
      <c r="I5" s="3" t="n">
        <v>-125.59544</v>
      </c>
      <c r="J5" s="3" t="n">
        <v>-287.44062</v>
      </c>
      <c r="K5" s="3" t="n">
        <v>-123.19662</v>
      </c>
      <c r="L5" s="3" t="n">
        <v>-152.29149</v>
      </c>
      <c r="M5" s="2" t="inlineStr">
        <is>
          <t>/</t>
        </is>
      </c>
      <c r="N5" s="3" t="n">
        <v>-96.192584</v>
      </c>
      <c r="O5" s="3" t="n">
        <v>-286.95175</v>
      </c>
      <c r="P5" s="3" t="n">
        <v>-133.28996</v>
      </c>
      <c r="Q5" s="3" t="n">
        <v>-188.38797</v>
      </c>
      <c r="R5" s="3" t="n">
        <v>-90.698572</v>
      </c>
      <c r="S5" s="3" t="n">
        <v>-323.17114</v>
      </c>
      <c r="T5" s="3" t="n">
        <v>-683.00085</v>
      </c>
      <c r="U5" s="2" t="inlineStr">
        <is>
          <t>/</t>
        </is>
      </c>
      <c r="V5" s="3" t="n">
        <v>-193.22919</v>
      </c>
      <c r="W5" s="2" t="inlineStr">
        <is>
          <t>/</t>
        </is>
      </c>
      <c r="X5" s="3" t="n">
        <v>-191.59316</v>
      </c>
      <c r="Y5" s="3" t="n">
        <v>-282.58631</v>
      </c>
      <c r="Z5" s="3" t="n">
        <v>-306.37205</v>
      </c>
      <c r="AA5" s="3" t="n">
        <v>-33.998434</v>
      </c>
      <c r="AB5" s="3" t="n">
        <v>-118.41855</v>
      </c>
      <c r="AC5" s="3" t="n">
        <v>-132.68515</v>
      </c>
      <c r="AD5" s="3" t="n">
        <v>-75.10511099999999</v>
      </c>
      <c r="AE5" s="3" t="n">
        <v>-266.48621</v>
      </c>
      <c r="AF5" s="3" t="n">
        <v>-232.32567</v>
      </c>
      <c r="AG5" s="2" t="inlineStr">
        <is>
          <t>/</t>
        </is>
      </c>
      <c r="AH5" s="3" t="n">
        <v>-158.65799</v>
      </c>
      <c r="AI5" s="3" t="n">
        <v>-168.8785</v>
      </c>
      <c r="AJ5" s="3" t="n">
        <v>-132.74659</v>
      </c>
      <c r="AK5" s="3" t="n">
        <v>-181.58422</v>
      </c>
      <c r="AL5" s="3" t="n">
        <v>-85.07686200000001</v>
      </c>
      <c r="AM5" s="3" t="n">
        <v>-115.03208</v>
      </c>
      <c r="AN5" s="3" t="n">
        <v>-132.68183</v>
      </c>
      <c r="AO5" s="3" t="n">
        <v>-279.20374</v>
      </c>
      <c r="AP5" s="3" t="n">
        <v>-16.382304</v>
      </c>
      <c r="AQ5" s="3" t="n">
        <v>0.875</v>
      </c>
    </row>
    <row r="6">
      <c r="A6" s="2" t="inlineStr">
        <is>
          <t>gpt-5.2-2025-12-11</t>
        </is>
      </c>
      <c r="B6" s="2" t="inlineStr">
        <is>
          <t>E0（OSZICAR 终态）</t>
        </is>
      </c>
      <c r="C6" s="3" t="n">
        <v>-96.40213300000001</v>
      </c>
      <c r="D6" s="3" t="n">
        <v>-224.51457</v>
      </c>
      <c r="E6" s="3" t="n">
        <v>-82.774821</v>
      </c>
      <c r="F6" s="3" t="n">
        <v>-257.45385</v>
      </c>
      <c r="G6" s="3" t="n">
        <v>-308.91357</v>
      </c>
      <c r="H6" s="3" t="n">
        <v>-66.700079</v>
      </c>
      <c r="I6" s="3" t="n">
        <v>-124.85419</v>
      </c>
      <c r="J6" s="3" t="n">
        <v>-287.46682</v>
      </c>
      <c r="K6" s="3" t="n">
        <v>-123.07818</v>
      </c>
      <c r="L6" s="3" t="n">
        <v>-152.13385</v>
      </c>
      <c r="M6" s="2" t="inlineStr">
        <is>
          <t>/</t>
        </is>
      </c>
      <c r="N6" s="3" t="n">
        <v>-95.617728</v>
      </c>
      <c r="O6" s="2" t="inlineStr">
        <is>
          <t>/</t>
        </is>
      </c>
      <c r="P6" s="3" t="n">
        <v>-132.80339</v>
      </c>
      <c r="Q6" s="3" t="n">
        <v>-179.96941</v>
      </c>
      <c r="R6" s="3" t="n">
        <v>-90.696425</v>
      </c>
      <c r="S6" s="2" t="inlineStr">
        <is>
          <t>/</t>
        </is>
      </c>
      <c r="T6" s="3" t="n">
        <v>-683.00951</v>
      </c>
      <c r="U6" s="2" t="inlineStr">
        <is>
          <t>/</t>
        </is>
      </c>
      <c r="V6" s="2" t="inlineStr">
        <is>
          <t>/</t>
        </is>
      </c>
      <c r="W6" s="2" t="inlineStr">
        <is>
          <t>/</t>
        </is>
      </c>
      <c r="X6" s="3" t="n">
        <v>-205.14684</v>
      </c>
      <c r="Y6" s="3" t="n">
        <v>-312.34569</v>
      </c>
      <c r="Z6" s="3" t="n">
        <v>-306.37378</v>
      </c>
      <c r="AA6" s="3" t="n">
        <v>-33.842173</v>
      </c>
      <c r="AB6" s="3" t="n">
        <v>-118.43704</v>
      </c>
      <c r="AC6" s="3" t="n">
        <v>-132.68322</v>
      </c>
      <c r="AD6" s="3" t="n">
        <v>-75.111144</v>
      </c>
      <c r="AE6" s="3" t="n">
        <v>-266.49822</v>
      </c>
      <c r="AF6" s="3" t="n">
        <v>-232.32601</v>
      </c>
      <c r="AG6" s="2" t="inlineStr">
        <is>
          <t>/</t>
        </is>
      </c>
      <c r="AH6" s="3" t="n">
        <v>-141.04224</v>
      </c>
      <c r="AI6" s="3" t="n">
        <v>-169.19587</v>
      </c>
      <c r="AJ6" s="3" t="n">
        <v>-126.24577</v>
      </c>
      <c r="AK6" s="2" t="inlineStr">
        <is>
          <t>/</t>
        </is>
      </c>
      <c r="AL6" s="3" t="n">
        <v>-85.067565</v>
      </c>
      <c r="AM6" s="3" t="n">
        <v>-115.03234</v>
      </c>
      <c r="AN6" s="3" t="n">
        <v>-132.69753</v>
      </c>
      <c r="AO6" s="2" t="inlineStr">
        <is>
          <t>/</t>
        </is>
      </c>
      <c r="AP6" s="3" t="n">
        <v>-16.439068</v>
      </c>
      <c r="AQ6" s="3" t="n">
        <v>0.775</v>
      </c>
    </row>
    <row r="7">
      <c r="A7" s="2" t="inlineStr">
        <is>
          <t>qwen3.5-397b-a17b</t>
        </is>
      </c>
      <c r="B7" s="2" t="inlineStr">
        <is>
          <t>E0（OSZICAR 终态）</t>
        </is>
      </c>
      <c r="C7" s="3" t="n">
        <v>-96.682676</v>
      </c>
      <c r="D7" s="3" t="n">
        <v>-225.34476</v>
      </c>
      <c r="E7" s="3" t="n">
        <v>-83.158097</v>
      </c>
      <c r="F7" s="3" t="n">
        <v>-265.89736</v>
      </c>
      <c r="G7" s="3" t="n">
        <v>-308.95408</v>
      </c>
      <c r="H7" s="3" t="n">
        <v>-72.938438</v>
      </c>
      <c r="I7" s="3" t="n">
        <v>-125.5965</v>
      </c>
      <c r="J7" s="3" t="n">
        <v>-287.49005</v>
      </c>
      <c r="K7" s="3" t="n">
        <v>-123.20668</v>
      </c>
      <c r="L7" s="3" t="n">
        <v>-152.29287</v>
      </c>
      <c r="M7" s="2" t="inlineStr">
        <is>
          <t>/</t>
        </is>
      </c>
      <c r="N7" s="3" t="n">
        <v>-96.208468</v>
      </c>
      <c r="O7" s="2" t="inlineStr">
        <is>
          <t>/</t>
        </is>
      </c>
      <c r="P7" s="3" t="n">
        <v>-133.30443</v>
      </c>
      <c r="Q7" s="3" t="n">
        <v>-198.38353</v>
      </c>
      <c r="R7" s="3" t="n">
        <v>-90.696476</v>
      </c>
      <c r="S7" s="3" t="n">
        <v>-323.18567</v>
      </c>
      <c r="T7" s="3" t="n">
        <v>-682.48832</v>
      </c>
      <c r="U7" s="2" t="inlineStr">
        <is>
          <t>/</t>
        </is>
      </c>
      <c r="V7" s="3" t="n">
        <v>-193.24805</v>
      </c>
      <c r="W7" s="3" t="n">
        <v>-126.40807</v>
      </c>
      <c r="X7" s="3" t="n">
        <v>-191.60209</v>
      </c>
      <c r="Y7" s="3" t="n">
        <v>-281.95104</v>
      </c>
      <c r="Z7" s="3" t="n">
        <v>-306.37224</v>
      </c>
      <c r="AA7" s="3" t="n">
        <v>-33.98764</v>
      </c>
      <c r="AB7" s="3" t="n">
        <v>-118.4206</v>
      </c>
      <c r="AC7" s="3" t="n">
        <v>-132.68717</v>
      </c>
      <c r="AD7" s="3" t="n">
        <v>-75.111842</v>
      </c>
      <c r="AE7" s="3" t="n">
        <v>-266.50198</v>
      </c>
      <c r="AF7" s="3" t="n">
        <v>-232.32603</v>
      </c>
      <c r="AG7" s="2" t="inlineStr">
        <is>
          <t>/</t>
        </is>
      </c>
      <c r="AH7" s="3" t="n">
        <v>-158.68852</v>
      </c>
      <c r="AI7" s="3" t="n">
        <v>-168.86601</v>
      </c>
      <c r="AJ7" s="3" t="n">
        <v>-136.99809</v>
      </c>
      <c r="AK7" s="3" t="n">
        <v>-181.59296</v>
      </c>
      <c r="AL7" s="3" t="n">
        <v>-85.07663700000001</v>
      </c>
      <c r="AM7" s="3" t="n">
        <v>-115.03208</v>
      </c>
      <c r="AN7" s="3" t="n">
        <v>-132.688</v>
      </c>
      <c r="AO7" s="3" t="n">
        <v>-279.18414</v>
      </c>
      <c r="AP7" s="3" t="n">
        <v>-16.385148</v>
      </c>
      <c r="AQ7" s="3" t="n">
        <v>0.9</v>
      </c>
    </row>
    <row r="8">
      <c r="A8" s="2" t="inlineStr">
        <is>
          <t>vaspagent</t>
        </is>
      </c>
      <c r="B8" s="2" t="inlineStr">
        <is>
          <t>E0（OSZICAR 终态）</t>
        </is>
      </c>
      <c r="C8" s="3" t="n">
        <v>-96.682676</v>
      </c>
      <c r="D8" s="3" t="n">
        <v>-225.34476</v>
      </c>
      <c r="E8" s="3" t="n">
        <v>-83.158097</v>
      </c>
      <c r="F8" s="3" t="n">
        <v>-265.89736</v>
      </c>
      <c r="G8" s="3" t="n">
        <v>-308.95408</v>
      </c>
      <c r="H8" s="3" t="n">
        <v>-72.938438</v>
      </c>
      <c r="I8" s="3" t="n">
        <v>-125.62211</v>
      </c>
      <c r="J8" s="3" t="n">
        <v>-287.49005</v>
      </c>
      <c r="K8" s="3" t="n">
        <v>-123.20668</v>
      </c>
      <c r="L8" s="3" t="n">
        <v>-152.38851</v>
      </c>
      <c r="M8" s="2" t="inlineStr">
        <is>
          <t>/</t>
        </is>
      </c>
      <c r="N8" s="3" t="n">
        <v>-96.208468</v>
      </c>
      <c r="O8" s="3" t="n">
        <v>-286.95175</v>
      </c>
      <c r="P8" s="3" t="n">
        <v>-133.30443</v>
      </c>
      <c r="Q8" s="3" t="n">
        <v>-198.38353</v>
      </c>
      <c r="R8" s="3" t="n">
        <v>-90.698572</v>
      </c>
      <c r="S8" s="3" t="n">
        <v>-323.18567</v>
      </c>
      <c r="T8" s="3" t="n">
        <v>-683.00951</v>
      </c>
      <c r="U8" s="2" t="inlineStr">
        <is>
          <t>/</t>
        </is>
      </c>
      <c r="V8" s="3" t="n">
        <v>-193.24805</v>
      </c>
      <c r="W8" s="3" t="n">
        <v>-126.40807</v>
      </c>
      <c r="X8" s="3" t="n">
        <v>-205.14684</v>
      </c>
      <c r="Y8" s="3" t="n">
        <v>-312.34569</v>
      </c>
      <c r="Z8" s="3" t="n">
        <v>-306.37378</v>
      </c>
      <c r="AA8" s="3" t="n">
        <v>-33.998434</v>
      </c>
      <c r="AB8" s="3" t="n">
        <v>-118.43704</v>
      </c>
      <c r="AC8" s="3" t="n">
        <v>-132.68717</v>
      </c>
      <c r="AD8" s="3" t="n">
        <v>-75.111842</v>
      </c>
      <c r="AE8" s="3" t="n">
        <v>-266.50198</v>
      </c>
      <c r="AF8" s="3" t="n">
        <v>-232.37684</v>
      </c>
      <c r="AG8" s="3" t="n">
        <v>-139.86194</v>
      </c>
      <c r="AH8" s="3" t="n">
        <v>-158.68852</v>
      </c>
      <c r="AI8" s="3" t="n">
        <v>-170.11993</v>
      </c>
      <c r="AJ8" s="3" t="n">
        <v>-136.99809</v>
      </c>
      <c r="AK8" s="3" t="n">
        <v>-181.59296</v>
      </c>
      <c r="AL8" s="3" t="n">
        <v>-85.07686200000001</v>
      </c>
      <c r="AM8" s="3" t="n">
        <v>-115.03234</v>
      </c>
      <c r="AN8" s="3" t="n">
        <v>-132.69753</v>
      </c>
      <c r="AO8" s="3" t="n">
        <v>-279.20374</v>
      </c>
      <c r="AP8" s="3" t="n">
        <v>-16.439068</v>
      </c>
      <c r="AQ8" s="3" t="n">
        <v>0.95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  <col width="40" customWidth="1" min="11" max="11"/>
    <col width="40" customWidth="1" min="12" max="12"/>
    <col width="40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40" customWidth="1" min="20" max="20"/>
    <col width="40" customWidth="1" min="21" max="21"/>
    <col width="40" customWidth="1" min="22" max="22"/>
    <col width="40" customWidth="1" min="23" max="23"/>
    <col width="40" customWidth="1" min="24" max="24"/>
    <col width="40" customWidth="1" min="25" max="25"/>
    <col width="40" customWidth="1" min="26" max="26"/>
    <col width="14" customWidth="1" min="27" max="27"/>
  </cols>
  <sheetData>
    <row r="1">
      <c r="A1" s="1" t="inlineStr">
        <is>
          <t xml:space="preserve"> </t>
        </is>
      </c>
      <c r="B1" s="1" t="n"/>
      <c r="C1" s="1" t="inlineStr">
        <is>
          <t>AlN</t>
        </is>
      </c>
      <c r="D1" s="1" t="inlineStr">
        <is>
          <t>B6P</t>
        </is>
      </c>
      <c r="E1" s="1" t="inlineStr">
        <is>
          <t>BN</t>
        </is>
      </c>
      <c r="F1" s="1" t="inlineStr">
        <is>
          <t>BaO2</t>
        </is>
      </c>
      <c r="G1" s="1" t="inlineStr">
        <is>
          <t>C</t>
        </is>
      </c>
      <c r="H1" s="1" t="inlineStr">
        <is>
          <t>CdS</t>
        </is>
      </c>
      <c r="I1" s="1" t="inlineStr">
        <is>
          <t>CdSe</t>
        </is>
      </c>
      <c r="J1" s="1" t="inlineStr">
        <is>
          <t>CdTe</t>
        </is>
      </c>
      <c r="K1" s="1" t="inlineStr">
        <is>
          <t>Cu2O</t>
        </is>
      </c>
      <c r="L1" s="1" t="inlineStr">
        <is>
          <t>Ga2O3</t>
        </is>
      </c>
      <c r="M1" s="1" t="inlineStr">
        <is>
          <t>GaAs</t>
        </is>
      </c>
      <c r="N1" s="1" t="inlineStr">
        <is>
          <t>GaN</t>
        </is>
      </c>
      <c r="O1" s="1" t="inlineStr">
        <is>
          <t>GaP</t>
        </is>
      </c>
      <c r="P1" s="1" t="inlineStr">
        <is>
          <t>InGaP2</t>
        </is>
      </c>
      <c r="Q1" s="1" t="inlineStr">
        <is>
          <t>InP</t>
        </is>
      </c>
      <c r="R1" s="1" t="inlineStr">
        <is>
          <t>InSe</t>
        </is>
      </c>
      <c r="S1" s="1" t="inlineStr">
        <is>
          <t>MoS2</t>
        </is>
      </c>
      <c r="T1" s="1" t="inlineStr">
        <is>
          <t>PbS</t>
        </is>
      </c>
      <c r="U1" s="1" t="inlineStr">
        <is>
          <t>PbSe</t>
        </is>
      </c>
      <c r="V1" s="1" t="inlineStr">
        <is>
          <t>Si</t>
        </is>
      </c>
      <c r="W1" s="1" t="inlineStr">
        <is>
          <t>SiC</t>
        </is>
      </c>
      <c r="X1" s="1" t="inlineStr">
        <is>
          <t>SnO2</t>
        </is>
      </c>
      <c r="Y1" s="1" t="inlineStr">
        <is>
          <t>ZnO</t>
        </is>
      </c>
      <c r="Z1" s="1" t="inlineStr">
        <is>
          <t>ZnS</t>
        </is>
      </c>
      <c r="AA1" s="1" t="inlineStr">
        <is>
          <t>success rate</t>
        </is>
      </c>
    </row>
    <row r="2">
      <c r="A2" s="2" t="n"/>
      <c r="B2" s="2" t="inlineStr">
        <is>
          <t>ground truth(1表示实验值，对于多个实验值取最接近300K,0.1MPa的，2表示文献计算值，3表示本项研究计算结果）</t>
        </is>
      </c>
      <c r="C2" s="2" t="inlineStr">
        <is>
          <t>6.13(1)</t>
        </is>
      </c>
      <c r="D2" s="2" t="inlineStr">
        <is>
          <t>2.83(2)</t>
        </is>
      </c>
      <c r="E2" s="2" t="inlineStr">
        <is>
          <t>6.4(1)</t>
        </is>
      </c>
      <c r="F2" s="2" t="inlineStr">
        <is>
          <t>3.818(3)</t>
        </is>
      </c>
      <c r="G2" s="2" t="inlineStr">
        <is>
          <t>5.48(1)</t>
        </is>
      </c>
      <c r="H2" s="2" t="inlineStr">
        <is>
          <t>2.482(1)</t>
        </is>
      </c>
      <c r="I2" s="2" t="inlineStr">
        <is>
          <t>1.66(1)</t>
        </is>
      </c>
      <c r="J2" s="2" t="inlineStr">
        <is>
          <t>1.64182(2)</t>
        </is>
      </c>
      <c r="K2" s="2" t="inlineStr">
        <is>
          <t>1.95(1)</t>
        </is>
      </c>
      <c r="L2" s="2" t="inlineStr">
        <is>
          <t>5.02(1)</t>
        </is>
      </c>
      <c r="M2" s="2" t="inlineStr">
        <is>
          <t>1.428(1)</t>
        </is>
      </c>
      <c r="N2" s="2" t="inlineStr">
        <is>
          <t>3.17(1)</t>
        </is>
      </c>
      <c r="O2" s="2" t="inlineStr">
        <is>
          <t>2.78(1)</t>
        </is>
      </c>
      <c r="P2" s="2" t="inlineStr">
        <is>
          <t>1.358(3)</t>
        </is>
      </c>
      <c r="Q2" s="2" t="inlineStr">
        <is>
          <t>1.34(1)</t>
        </is>
      </c>
      <c r="R2" s="2" t="inlineStr">
        <is>
          <t>1.23(1)</t>
        </is>
      </c>
      <c r="S2" s="2" t="inlineStr">
        <is>
          <t>2.15(3)</t>
        </is>
      </c>
      <c r="T2" s="2" t="inlineStr">
        <is>
          <t>1.0(1)</t>
        </is>
      </c>
      <c r="U2" s="2" t="inlineStr">
        <is>
          <t>0.905(3）</t>
        </is>
      </c>
      <c r="V2" s="2" t="inlineStr">
        <is>
          <t>1.20(1)</t>
        </is>
      </c>
      <c r="W2" s="2" t="inlineStr">
        <is>
          <t>3.182(3)</t>
        </is>
      </c>
      <c r="X2" s="2" t="inlineStr">
        <is>
          <t>2.57(1)</t>
        </is>
      </c>
      <c r="Y2" s="2" t="inlineStr">
        <is>
          <t>3.441(1)</t>
        </is>
      </c>
      <c r="Z2" s="2" t="inlineStr">
        <is>
          <t>3.56(1)</t>
        </is>
      </c>
      <c r="AA2" s="2" t="n"/>
    </row>
    <row r="3">
      <c r="A3" s="2" t="n"/>
      <c r="B3" s="2" t="inlineStr">
        <is>
          <t>our calculation</t>
        </is>
      </c>
      <c r="C3" s="3" t="n">
        <v>5.4109</v>
      </c>
      <c r="D3" s="3" t="n">
        <v>3.2302</v>
      </c>
      <c r="E3" s="3" t="n">
        <v>6.4873</v>
      </c>
      <c r="F3" s="3" t="n">
        <v>3.8182</v>
      </c>
      <c r="G3" s="3" t="n">
        <v>5.7193</v>
      </c>
      <c r="H3" s="3" t="n">
        <v>2.1258</v>
      </c>
      <c r="I3" s="3" t="n">
        <v>1.4705</v>
      </c>
      <c r="J3" s="3" t="n">
        <v>1.343</v>
      </c>
      <c r="K3" s="3" t="n">
        <v>1.8741</v>
      </c>
      <c r="L3" s="3" t="n">
        <v>3.7548</v>
      </c>
      <c r="M3" s="3" t="n">
        <v>1.0461</v>
      </c>
      <c r="N3" s="3" t="n">
        <v>2.9913</v>
      </c>
      <c r="O3" s="3" t="n">
        <v>2.3907</v>
      </c>
      <c r="P3" s="3" t="n">
        <v>1.3579</v>
      </c>
      <c r="Q3" s="3" t="n">
        <v>1.2488</v>
      </c>
      <c r="R3" s="3" t="n">
        <v>1.1648</v>
      </c>
      <c r="S3" s="3" t="n">
        <v>2.1504</v>
      </c>
      <c r="T3" s="3" t="n">
        <v>0.9569</v>
      </c>
      <c r="U3" s="3" t="n">
        <v>0.9053</v>
      </c>
      <c r="V3" s="3" t="n">
        <v>1.194</v>
      </c>
      <c r="W3" s="3" t="n">
        <v>3.182</v>
      </c>
      <c r="X3" s="3" t="n">
        <v>2.3107</v>
      </c>
      <c r="Y3" s="3" t="n">
        <v>2.4062</v>
      </c>
      <c r="Z3" s="3" t="n">
        <v>3.2347</v>
      </c>
      <c r="AA3" s="2" t="n"/>
    </row>
    <row r="4">
      <c r="A4" s="2" t="inlineStr">
        <is>
          <t>DeepSeek-V3.2</t>
        </is>
      </c>
      <c r="B4" s="2" t="inlineStr">
        <is>
          <t>计算值</t>
        </is>
      </c>
      <c r="C4" s="3" t="n">
        <v>5.411</v>
      </c>
      <c r="D4" s="3" t="n">
        <v>3.2328</v>
      </c>
      <c r="E4" s="3" t="n">
        <v>6.4891</v>
      </c>
      <c r="F4" s="3" t="n">
        <v>3.7981</v>
      </c>
      <c r="G4" s="3" t="n">
        <v>5.759400000000001</v>
      </c>
      <c r="H4" s="3" t="n">
        <v>2.2057</v>
      </c>
      <c r="I4" s="2" t="inlineStr">
        <is>
          <t>/</t>
        </is>
      </c>
      <c r="J4" s="3" t="n">
        <v>1.4531</v>
      </c>
      <c r="K4" s="3" t="n">
        <v>2.047</v>
      </c>
      <c r="L4" s="3" t="n">
        <v>4.1264</v>
      </c>
      <c r="M4" s="3" t="n">
        <v>1.052</v>
      </c>
      <c r="N4" s="3" t="n">
        <v>3.2058</v>
      </c>
      <c r="O4" s="3" t="n">
        <v>2.3251</v>
      </c>
      <c r="P4" s="3" t="n">
        <v>1.371099999999999</v>
      </c>
      <c r="Q4" s="2" t="inlineStr">
        <is>
          <t>/</t>
        </is>
      </c>
      <c r="R4" s="3" t="n">
        <v>1.2762</v>
      </c>
      <c r="S4" s="3" t="n">
        <v>2.1346</v>
      </c>
      <c r="T4" s="3" t="n">
        <v>0.8849</v>
      </c>
      <c r="U4" s="2" t="inlineStr">
        <is>
          <t>/</t>
        </is>
      </c>
      <c r="V4" s="3" t="n">
        <v>1.1713</v>
      </c>
      <c r="W4" s="3" t="n">
        <v>3.174900000000001</v>
      </c>
      <c r="X4" s="3" t="n">
        <v>2.788399999999999</v>
      </c>
      <c r="Y4" s="3" t="n">
        <v>2.5077</v>
      </c>
      <c r="Z4" s="3" t="n">
        <v>3.4052</v>
      </c>
      <c r="AA4" s="3" t="n">
        <v>0.875</v>
      </c>
    </row>
    <row r="5">
      <c r="A5" s="2" t="n"/>
      <c r="B5" s="2" t="inlineStr">
        <is>
          <t>得分</t>
        </is>
      </c>
      <c r="C5" s="2">
        <f>IFERROR(   IF(      AND(ISNUMBER(VALUE(C$3)), ISNUMBER(VALUE(C4))),      IF(         MAX(ABS(VALUE(C4)),ABS(VALUE(C$3)))&lt;&gt;0,         MIN(ABS(VALUE(C4)),ABS(VALUE(C$3)))/MAX(ABS(VALUE(C4)),ABS(VALUE(C$3))),         0      ),      0   ),0)</f>
        <v/>
      </c>
      <c r="D5" s="2">
        <f>IFERROR(   IF(      AND(ISNUMBER(VALUE(D$3)), ISNUMBER(VALUE(D4))),      IF(         MAX(ABS(VALUE(D4)),ABS(VALUE(D$3)))&lt;&gt;0,         MIN(ABS(VALUE(D4)),ABS(VALUE(D$3)))/MAX(ABS(VALUE(D4)),ABS(VALUE(D$3))),         0      ),      0   ),0)</f>
        <v/>
      </c>
      <c r="E5" s="2">
        <f>IFERROR(   IF(      AND(ISNUMBER(VALUE(E$3)), ISNUMBER(VALUE(E4))),      IF(         MAX(ABS(VALUE(E4)),ABS(VALUE(E$3)))&lt;&gt;0,         MIN(ABS(VALUE(E4)),ABS(VALUE(E$3)))/MAX(ABS(VALUE(E4)),ABS(VALUE(E$3))),         0      ),      0   ),0)</f>
        <v/>
      </c>
      <c r="F5" s="2">
        <f>IFERROR(   IF(      AND(ISNUMBER(VALUE(F$3)), ISNUMBER(VALUE(F4))),      IF(         MAX(ABS(VALUE(F4)),ABS(VALUE(F$3)))&lt;&gt;0,         MIN(ABS(VALUE(F4)),ABS(VALUE(F$3)))/MAX(ABS(VALUE(F4)),ABS(VALUE(F$3))),         0      ),      0   ),0)</f>
        <v/>
      </c>
      <c r="G5" s="2">
        <f>IFERROR(   IF(      AND(ISNUMBER(VALUE(G$3)), ISNUMBER(VALUE(G4))),      IF(         MAX(ABS(VALUE(G4)),ABS(VALUE(G$3)))&lt;&gt;0,         MIN(ABS(VALUE(G4)),ABS(VALUE(G$3)))/MAX(ABS(VALUE(G4)),ABS(VALUE(G$3))),         0      ),      0   ),0)</f>
        <v/>
      </c>
      <c r="H5" s="2">
        <f>IFERROR(   IF(      AND(ISNUMBER(VALUE(H$3)), ISNUMBER(VALUE(H4))),      IF(         MAX(ABS(VALUE(H4)),ABS(VALUE(H$3)))&lt;&gt;0,         MIN(ABS(VALUE(H4)),ABS(VALUE(H$3)))/MAX(ABS(VALUE(H4)),ABS(VALUE(H$3))),         0      ),      0   ),0)</f>
        <v/>
      </c>
      <c r="I5" s="2">
        <f>IFERROR(   IF(      AND(ISNUMBER(VALUE(I$3)), ISNUMBER(VALUE(I4))),      IF(         MAX(ABS(VALUE(I4)),ABS(VALUE(I$3)))&lt;&gt;0,         MIN(ABS(VALUE(I4)),ABS(VALUE(I$3)))/MAX(ABS(VALUE(I4)),ABS(VALUE(I$3))),         0      ),      0   ),0)</f>
        <v/>
      </c>
      <c r="J5" s="2">
        <f>IFERROR(   IF(      AND(ISNUMBER(VALUE(J$3)), ISNUMBER(VALUE(J4))),      IF(         MAX(ABS(VALUE(J4)),ABS(VALUE(J$3)))&lt;&gt;0,         MIN(ABS(VALUE(J4)),ABS(VALUE(J$3)))/MAX(ABS(VALUE(J4)),ABS(VALUE(J$3))),         0      ),      0   ),0)</f>
        <v/>
      </c>
      <c r="K5" s="2">
        <f>IFERROR(   IF(      AND(ISNUMBER(VALUE(K$3)), ISNUMBER(VALUE(K4))),      IF(         MAX(ABS(VALUE(K4)),ABS(VALUE(K$3)))&lt;&gt;0,         MIN(ABS(VALUE(K4)),ABS(VALUE(K$3)))/MAX(ABS(VALUE(K4)),ABS(VALUE(K$3))),         0      ),      0   ),0)</f>
        <v/>
      </c>
      <c r="L5" s="2">
        <f>IFERROR(   IF(      AND(ISNUMBER(VALUE(L$3)), ISNUMBER(VALUE(L4))),      IF(         MAX(ABS(VALUE(L4)),ABS(VALUE(L$3)))&lt;&gt;0,         MIN(ABS(VALUE(L4)),ABS(VALUE(L$3)))/MAX(ABS(VALUE(L4)),ABS(VALUE(L$3))),         0      ),      0   ),0)</f>
        <v/>
      </c>
      <c r="M5" s="2">
        <f>IFERROR(   IF(      AND(ISNUMBER(VALUE(M$3)), ISNUMBER(VALUE(M4))),      IF(         MAX(ABS(VALUE(M4)),ABS(VALUE(M$3)))&lt;&gt;0,         MIN(ABS(VALUE(M4)),ABS(VALUE(M$3)))/MAX(ABS(VALUE(M4)),ABS(VALUE(M$3))),         0      ),      0   ),0)</f>
        <v/>
      </c>
      <c r="N5" s="2">
        <f>IFERROR(   IF(      AND(ISNUMBER(VALUE(N$3)), ISNUMBER(VALUE(N4))),      IF(         MAX(ABS(VALUE(N4)),ABS(VALUE(N$3)))&lt;&gt;0,         MIN(ABS(VALUE(N4)),ABS(VALUE(N$3)))/MAX(ABS(VALUE(N4)),ABS(VALUE(N$3))),         0      ),      0   ),0)</f>
        <v/>
      </c>
      <c r="O5" s="2">
        <f>IFERROR(   IF(      AND(ISNUMBER(VALUE(O$3)), ISNUMBER(VALUE(O4))),      IF(         MAX(ABS(VALUE(O4)),ABS(VALUE(O$3)))&lt;&gt;0,         MIN(ABS(VALUE(O4)),ABS(VALUE(O$3)))/MAX(ABS(VALUE(O4)),ABS(VALUE(O$3))),         0      ),      0   ),0)</f>
        <v/>
      </c>
      <c r="P5" s="2">
        <f>IFERROR(   IF(      AND(ISNUMBER(VALUE(P$3)), ISNUMBER(VALUE(P4))),      IF(         MAX(ABS(VALUE(P4)),ABS(VALUE(P$3)))&lt;&gt;0,         MIN(ABS(VALUE(P4)),ABS(VALUE(P$3)))/MAX(ABS(VALUE(P4)),ABS(VALUE(P$3))),         0      ),      0   ),0)</f>
        <v/>
      </c>
      <c r="Q5" s="2">
        <f>IFERROR(   IF(      AND(ISNUMBER(VALUE(Q$3)), ISNUMBER(VALUE(Q4))),      IF(         MAX(ABS(VALUE(Q4)),ABS(VALUE(Q$3)))&lt;&gt;0,         MIN(ABS(VALUE(Q4)),ABS(VALUE(Q$3)))/MAX(ABS(VALUE(Q4)),ABS(VALUE(Q$3))),         0      ),      0   ),0)</f>
        <v/>
      </c>
      <c r="R5" s="2">
        <f>IFERROR(   IF(      AND(ISNUMBER(VALUE(R$3)), ISNUMBER(VALUE(R4))),      IF(         MAX(ABS(VALUE(R4)),ABS(VALUE(R$3)))&lt;&gt;0,         MIN(ABS(VALUE(R4)),ABS(VALUE(R$3)))/MAX(ABS(VALUE(R4)),ABS(VALUE(R$3))),         0      ),      0   ),0)</f>
        <v/>
      </c>
      <c r="S5" s="2">
        <f>IFERROR(   IF(      AND(ISNUMBER(VALUE(S$3)), ISNUMBER(VALUE(S4))),      IF(         MAX(ABS(VALUE(S4)),ABS(VALUE(S$3)))&lt;&gt;0,         MIN(ABS(VALUE(S4)),ABS(VALUE(S$3)))/MAX(ABS(VALUE(S4)),ABS(VALUE(S$3))),         0      ),      0   ),0)</f>
        <v/>
      </c>
      <c r="T5" s="2">
        <f>IFERROR(   IF(      AND(ISNUMBER(VALUE(T$3)), ISNUMBER(VALUE(T4))),      IF(         MAX(ABS(VALUE(T4)),ABS(VALUE(T$3)))&lt;&gt;0,         MIN(ABS(VALUE(T4)),ABS(VALUE(T$3)))/MAX(ABS(VALUE(T4)),ABS(VALUE(T$3))),         0      ),      0   ),0)</f>
        <v/>
      </c>
      <c r="U5" s="2">
        <f>IFERROR(   IF(      AND(ISNUMBER(VALUE(U$3)), ISNUMBER(VALUE(U4))),      IF(         MAX(ABS(VALUE(U4)),ABS(VALUE(U$3)))&lt;&gt;0,         MIN(ABS(VALUE(U4)),ABS(VALUE(U$3)))/MAX(ABS(VALUE(U4)),ABS(VALUE(U$3))),         0      ),      0   ),0)</f>
        <v/>
      </c>
      <c r="V5" s="2">
        <f>IFERROR(   IF(      AND(ISNUMBER(VALUE(V$3)), ISNUMBER(VALUE(V4))),      IF(         MAX(ABS(VALUE(V4)),ABS(VALUE(V$3)))&lt;&gt;0,         MIN(ABS(VALUE(V4)),ABS(VALUE(V$3)))/MAX(ABS(VALUE(V4)),ABS(VALUE(V$3))),         0      ),      0   ),0)</f>
        <v/>
      </c>
      <c r="W5" s="2">
        <f>IFERROR(   IF(      AND(ISNUMBER(VALUE(W$3)), ISNUMBER(VALUE(W4))),      IF(         MAX(ABS(VALUE(W4)),ABS(VALUE(W$3)))&lt;&gt;0,         MIN(ABS(VALUE(W4)),ABS(VALUE(W$3)))/MAX(ABS(VALUE(W4)),ABS(VALUE(W$3))),         0      ),      0   ),0)</f>
        <v/>
      </c>
      <c r="X5" s="2">
        <f>IFERROR(   IF(      AND(ISNUMBER(VALUE(X$3)), ISNUMBER(VALUE(X4))),      IF(         MAX(ABS(VALUE(X4)),ABS(VALUE(X$3)))&lt;&gt;0,         MIN(ABS(VALUE(X4)),ABS(VALUE(X$3)))/MAX(ABS(VALUE(X4)),ABS(VALUE(X$3))),         0      ),      0   ),0)</f>
        <v/>
      </c>
      <c r="Y5" s="2">
        <f>IFERROR(   IF(      AND(ISNUMBER(VALUE(Y$3)), ISNUMBER(VALUE(Y4))),      IF(         MAX(ABS(VALUE(Y4)),ABS(VALUE(Y$3)))&lt;&gt;0,         MIN(ABS(VALUE(Y4)),ABS(VALUE(Y$3)))/MAX(ABS(VALUE(Y4)),ABS(VALUE(Y$3))),         0      ),      0   ),0)</f>
        <v/>
      </c>
      <c r="Z5" s="2">
        <f>IFERROR(   IF(      AND(ISNUMBER(VALUE(Z$3)), ISNUMBER(VALUE(Z4))),      IF(         MAX(ABS(VALUE(Z4)),ABS(VALUE(Z$3)))&lt;&gt;0,         MIN(ABS(VALUE(Z4)),ABS(VALUE(Z$3)))/MAX(ABS(VALUE(Z4)),ABS(VALUE(Z$3))),         0      ),      0   ),0)</f>
        <v/>
      </c>
      <c r="AA5" s="3" t="n">
        <v>0.875</v>
      </c>
    </row>
    <row r="6">
      <c r="A6" s="2" t="inlineStr">
        <is>
          <t>gemini-3.1-pro-preview</t>
        </is>
      </c>
      <c r="B6" s="2" t="inlineStr">
        <is>
          <t>计算值</t>
        </is>
      </c>
      <c r="C6" s="3" t="n">
        <v>5.410900000000001</v>
      </c>
      <c r="D6" s="3" t="n">
        <v>3.232600000000001</v>
      </c>
      <c r="E6" s="3" t="n">
        <v>6.4892</v>
      </c>
      <c r="F6" s="3" t="n">
        <v>3.7979</v>
      </c>
      <c r="G6" s="3" t="n">
        <v>5.7593</v>
      </c>
      <c r="H6" s="3" t="n">
        <v>2.2039</v>
      </c>
      <c r="I6" s="3" t="n">
        <v>1.5585</v>
      </c>
      <c r="J6" s="3" t="n">
        <v>1.4521</v>
      </c>
      <c r="K6" s="3" t="n">
        <v>2.047099999999999</v>
      </c>
      <c r="L6" s="3" t="n">
        <v>4.127599999999999</v>
      </c>
      <c r="M6" s="3" t="n">
        <v>1.0525</v>
      </c>
      <c r="N6" s="3" t="n">
        <v>3.216299999999999</v>
      </c>
      <c r="O6" s="3" t="n">
        <v>2.3248</v>
      </c>
      <c r="P6" s="3" t="n">
        <v>1.371300000000001</v>
      </c>
      <c r="Q6" s="3" t="n">
        <v>1.4167</v>
      </c>
      <c r="R6" s="3" t="n">
        <v>1.2764</v>
      </c>
      <c r="S6" s="3" t="n">
        <v>2.1347</v>
      </c>
      <c r="T6" s="3" t="n">
        <v>0.8856000000000002</v>
      </c>
      <c r="U6" s="3" t="n">
        <v>0.8308999999999997</v>
      </c>
      <c r="V6" s="3" t="n">
        <v>1.1687</v>
      </c>
      <c r="W6" s="3" t="n">
        <v>3.175000000000001</v>
      </c>
      <c r="X6" s="3" t="n">
        <v>2.7887</v>
      </c>
      <c r="Y6" s="3" t="n">
        <v>2.5107</v>
      </c>
      <c r="Z6" s="3" t="n">
        <v>3.4063</v>
      </c>
      <c r="AA6" s="2" t="n">
        <v>1</v>
      </c>
    </row>
    <row r="7">
      <c r="A7" s="2" t="n"/>
      <c r="B7" s="2" t="inlineStr">
        <is>
          <t>得分</t>
        </is>
      </c>
      <c r="C7" s="2">
        <f>IFERROR(   IF(      AND(ISNUMBER(VALUE(C$3)), ISNUMBER(VALUE(C6))),      IF(         MAX(ABS(VALUE(C6)),ABS(VALUE(C$3)))&lt;&gt;0,         MIN(ABS(VALUE(C6)),ABS(VALUE(C$3)))/MAX(ABS(VALUE(C6)),ABS(VALUE(C$3))),         0      ),      0   ),0)</f>
        <v/>
      </c>
      <c r="D7" s="2">
        <f>IFERROR(   IF(      AND(ISNUMBER(VALUE(D$3)), ISNUMBER(VALUE(D6))),      IF(         MAX(ABS(VALUE(D6)),ABS(VALUE(D$3)))&lt;&gt;0,         MIN(ABS(VALUE(D6)),ABS(VALUE(D$3)))/MAX(ABS(VALUE(D6)),ABS(VALUE(D$3))),         0      ),      0   ),0)</f>
        <v/>
      </c>
      <c r="E7" s="2">
        <f>IFERROR(   IF(      AND(ISNUMBER(VALUE(E$3)), ISNUMBER(VALUE(E6))),      IF(         MAX(ABS(VALUE(E6)),ABS(VALUE(E$3)))&lt;&gt;0,         MIN(ABS(VALUE(E6)),ABS(VALUE(E$3)))/MAX(ABS(VALUE(E6)),ABS(VALUE(E$3))),         0      ),      0   ),0)</f>
        <v/>
      </c>
      <c r="F7" s="2">
        <f>IFERROR(   IF(      AND(ISNUMBER(VALUE(F$3)), ISNUMBER(VALUE(F6))),      IF(         MAX(ABS(VALUE(F6)),ABS(VALUE(F$3)))&lt;&gt;0,         MIN(ABS(VALUE(F6)),ABS(VALUE(F$3)))/MAX(ABS(VALUE(F6)),ABS(VALUE(F$3))),         0      ),      0   ),0)</f>
        <v/>
      </c>
      <c r="G7" s="2">
        <f>IFERROR(   IF(      AND(ISNUMBER(VALUE(G$3)), ISNUMBER(VALUE(G6))),      IF(         MAX(ABS(VALUE(G6)),ABS(VALUE(G$3)))&lt;&gt;0,         MIN(ABS(VALUE(G6)),ABS(VALUE(G$3)))/MAX(ABS(VALUE(G6)),ABS(VALUE(G$3))),         0      ),      0   ),0)</f>
        <v/>
      </c>
      <c r="H7" s="2">
        <f>IFERROR(   IF(      AND(ISNUMBER(VALUE(H$3)), ISNUMBER(VALUE(H6))),      IF(         MAX(ABS(VALUE(H6)),ABS(VALUE(H$3)))&lt;&gt;0,         MIN(ABS(VALUE(H6)),ABS(VALUE(H$3)))/MAX(ABS(VALUE(H6)),ABS(VALUE(H$3))),         0      ),      0   ),0)</f>
        <v/>
      </c>
      <c r="I7" s="2">
        <f>IFERROR(   IF(      AND(ISNUMBER(VALUE(I$3)), ISNUMBER(VALUE(I6))),      IF(         MAX(ABS(VALUE(I6)),ABS(VALUE(I$3)))&lt;&gt;0,         MIN(ABS(VALUE(I6)),ABS(VALUE(I$3)))/MAX(ABS(VALUE(I6)),ABS(VALUE(I$3))),         0      ),      0   ),0)</f>
        <v/>
      </c>
      <c r="J7" s="2">
        <f>IFERROR(   IF(      AND(ISNUMBER(VALUE(J$3)), ISNUMBER(VALUE(J6))),      IF(         MAX(ABS(VALUE(J6)),ABS(VALUE(J$3)))&lt;&gt;0,         MIN(ABS(VALUE(J6)),ABS(VALUE(J$3)))/MAX(ABS(VALUE(J6)),ABS(VALUE(J$3))),         0      ),      0   ),0)</f>
        <v/>
      </c>
      <c r="K7" s="2">
        <f>IFERROR(   IF(      AND(ISNUMBER(VALUE(K$3)), ISNUMBER(VALUE(K6))),      IF(         MAX(ABS(VALUE(K6)),ABS(VALUE(K$3)))&lt;&gt;0,         MIN(ABS(VALUE(K6)),ABS(VALUE(K$3)))/MAX(ABS(VALUE(K6)),ABS(VALUE(K$3))),         0      ),      0   ),0)</f>
        <v/>
      </c>
      <c r="L7" s="2">
        <f>IFERROR(   IF(      AND(ISNUMBER(VALUE(L$3)), ISNUMBER(VALUE(L6))),      IF(         MAX(ABS(VALUE(L6)),ABS(VALUE(L$3)))&lt;&gt;0,         MIN(ABS(VALUE(L6)),ABS(VALUE(L$3)))/MAX(ABS(VALUE(L6)),ABS(VALUE(L$3))),         0      ),      0   ),0)</f>
        <v/>
      </c>
      <c r="M7" s="2">
        <f>IFERROR(   IF(      AND(ISNUMBER(VALUE(M$3)), ISNUMBER(VALUE(M6))),      IF(         MAX(ABS(VALUE(M6)),ABS(VALUE(M$3)))&lt;&gt;0,         MIN(ABS(VALUE(M6)),ABS(VALUE(M$3)))/MAX(ABS(VALUE(M6)),ABS(VALUE(M$3))),         0      ),      0   ),0)</f>
        <v/>
      </c>
      <c r="N7" s="2">
        <f>IFERROR(   IF(      AND(ISNUMBER(VALUE(N$3)), ISNUMBER(VALUE(N6))),      IF(         MAX(ABS(VALUE(N6)),ABS(VALUE(N$3)))&lt;&gt;0,         MIN(ABS(VALUE(N6)),ABS(VALUE(N$3)))/MAX(ABS(VALUE(N6)),ABS(VALUE(N$3))),         0      ),      0   ),0)</f>
        <v/>
      </c>
      <c r="O7" s="2">
        <f>IFERROR(   IF(      AND(ISNUMBER(VALUE(O$3)), ISNUMBER(VALUE(O6))),      IF(         MAX(ABS(VALUE(O6)),ABS(VALUE(O$3)))&lt;&gt;0,         MIN(ABS(VALUE(O6)),ABS(VALUE(O$3)))/MAX(ABS(VALUE(O6)),ABS(VALUE(O$3))),         0      ),      0   ),0)</f>
        <v/>
      </c>
      <c r="P7" s="2">
        <f>IFERROR(   IF(      AND(ISNUMBER(VALUE(P$3)), ISNUMBER(VALUE(P6))),      IF(         MAX(ABS(VALUE(P6)),ABS(VALUE(P$3)))&lt;&gt;0,         MIN(ABS(VALUE(P6)),ABS(VALUE(P$3)))/MAX(ABS(VALUE(P6)),ABS(VALUE(P$3))),         0      ),      0   ),0)</f>
        <v/>
      </c>
      <c r="Q7" s="2">
        <f>IFERROR(   IF(      AND(ISNUMBER(VALUE(Q$3)), ISNUMBER(VALUE(Q6))),      IF(         MAX(ABS(VALUE(Q6)),ABS(VALUE(Q$3)))&lt;&gt;0,         MIN(ABS(VALUE(Q6)),ABS(VALUE(Q$3)))/MAX(ABS(VALUE(Q6)),ABS(VALUE(Q$3))),         0      ),      0   ),0)</f>
        <v/>
      </c>
      <c r="R7" s="2">
        <f>IFERROR(   IF(      AND(ISNUMBER(VALUE(R$3)), ISNUMBER(VALUE(R6))),      IF(         MAX(ABS(VALUE(R6)),ABS(VALUE(R$3)))&lt;&gt;0,         MIN(ABS(VALUE(R6)),ABS(VALUE(R$3)))/MAX(ABS(VALUE(R6)),ABS(VALUE(R$3))),         0      ),      0   ),0)</f>
        <v/>
      </c>
      <c r="S7" s="2">
        <f>IFERROR(   IF(      AND(ISNUMBER(VALUE(S$3)), ISNUMBER(VALUE(S6))),      IF(         MAX(ABS(VALUE(S6)),ABS(VALUE(S$3)))&lt;&gt;0,         MIN(ABS(VALUE(S6)),ABS(VALUE(S$3)))/MAX(ABS(VALUE(S6)),ABS(VALUE(S$3))),         0      ),      0   ),0)</f>
        <v/>
      </c>
      <c r="T7" s="2">
        <f>IFERROR(   IF(      AND(ISNUMBER(VALUE(T$3)), ISNUMBER(VALUE(T6))),      IF(         MAX(ABS(VALUE(T6)),ABS(VALUE(T$3)))&lt;&gt;0,         MIN(ABS(VALUE(T6)),ABS(VALUE(T$3)))/MAX(ABS(VALUE(T6)),ABS(VALUE(T$3))),         0      ),      0   ),0)</f>
        <v/>
      </c>
      <c r="U7" s="2">
        <f>IFERROR(   IF(      AND(ISNUMBER(VALUE(U$3)), ISNUMBER(VALUE(U6))),      IF(         MAX(ABS(VALUE(U6)),ABS(VALUE(U$3)))&lt;&gt;0,         MIN(ABS(VALUE(U6)),ABS(VALUE(U$3)))/MAX(ABS(VALUE(U6)),ABS(VALUE(U$3))),         0      ),      0   ),0)</f>
        <v/>
      </c>
      <c r="V7" s="2">
        <f>IFERROR(   IF(      AND(ISNUMBER(VALUE(V$3)), ISNUMBER(VALUE(V6))),      IF(         MAX(ABS(VALUE(V6)),ABS(VALUE(V$3)))&lt;&gt;0,         MIN(ABS(VALUE(V6)),ABS(VALUE(V$3)))/MAX(ABS(VALUE(V6)),ABS(VALUE(V$3))),         0      ),      0   ),0)</f>
        <v/>
      </c>
      <c r="W7" s="2">
        <f>IFERROR(   IF(      AND(ISNUMBER(VALUE(W$3)), ISNUMBER(VALUE(W6))),      IF(         MAX(ABS(VALUE(W6)),ABS(VALUE(W$3)))&lt;&gt;0,         MIN(ABS(VALUE(W6)),ABS(VALUE(W$3)))/MAX(ABS(VALUE(W6)),ABS(VALUE(W$3))),         0      ),      0   ),0)</f>
        <v/>
      </c>
      <c r="X7" s="2">
        <f>IFERROR(   IF(      AND(ISNUMBER(VALUE(X$3)), ISNUMBER(VALUE(X6))),      IF(         MAX(ABS(VALUE(X6)),ABS(VALUE(X$3)))&lt;&gt;0,         MIN(ABS(VALUE(X6)),ABS(VALUE(X$3)))/MAX(ABS(VALUE(X6)),ABS(VALUE(X$3))),         0      ),      0   ),0)</f>
        <v/>
      </c>
      <c r="Y7" s="2">
        <f>IFERROR(   IF(      AND(ISNUMBER(VALUE(Y$3)), ISNUMBER(VALUE(Y6))),      IF(         MAX(ABS(VALUE(Y6)),ABS(VALUE(Y$3)))&lt;&gt;0,         MIN(ABS(VALUE(Y6)),ABS(VALUE(Y$3)))/MAX(ABS(VALUE(Y6)),ABS(VALUE(Y$3))),         0      ),      0   ),0)</f>
        <v/>
      </c>
      <c r="Z7" s="2">
        <f>IFERROR(   IF(      AND(ISNUMBER(VALUE(Z$3)), ISNUMBER(VALUE(Z6))),      IF(         MAX(ABS(VALUE(Z6)),ABS(VALUE(Z$3)))&lt;&gt;0,         MIN(ABS(VALUE(Z6)),ABS(VALUE(Z$3)))/MAX(ABS(VALUE(Z6)),ABS(VALUE(Z$3))),         0      ),      0   ),0)</f>
        <v/>
      </c>
      <c r="AA7" s="2" t="n">
        <v>1</v>
      </c>
    </row>
    <row r="8">
      <c r="A8" s="2" t="inlineStr">
        <is>
          <t>gpt-5.2-2025-12-11</t>
        </is>
      </c>
      <c r="B8" s="2" t="inlineStr">
        <is>
          <t>计算值</t>
        </is>
      </c>
      <c r="C8" s="3" t="n">
        <v>5.4108</v>
      </c>
      <c r="D8" s="3" t="n">
        <v>3.2329</v>
      </c>
      <c r="E8" s="3" t="n">
        <v>6.4862</v>
      </c>
      <c r="F8" s="3" t="n">
        <v>3.8058</v>
      </c>
      <c r="G8" s="3" t="n">
        <v>5.759400000000001</v>
      </c>
      <c r="H8" s="3" t="n">
        <v>2.2067</v>
      </c>
      <c r="I8" s="3" t="n">
        <v>1.5608</v>
      </c>
      <c r="J8" s="3" t="n">
        <v>1.454</v>
      </c>
      <c r="K8" s="3" t="n">
        <v>2.047</v>
      </c>
      <c r="L8" s="3" t="n">
        <v>4.1378</v>
      </c>
      <c r="M8" s="3" t="n">
        <v>1.057</v>
      </c>
      <c r="N8" s="3" t="n">
        <v>3.2174</v>
      </c>
      <c r="O8" s="3" t="n">
        <v>2.328099999999999</v>
      </c>
      <c r="P8" s="3" t="n">
        <v>1.3712</v>
      </c>
      <c r="Q8" s="3" t="n">
        <v>1.857399999999999</v>
      </c>
      <c r="R8" s="3" t="n">
        <v>1.2812</v>
      </c>
      <c r="S8" s="2" t="inlineStr">
        <is>
          <t>/</t>
        </is>
      </c>
      <c r="T8" s="2" t="inlineStr">
        <is>
          <t>/</t>
        </is>
      </c>
      <c r="U8" s="2" t="inlineStr">
        <is>
          <t>/</t>
        </is>
      </c>
      <c r="V8" s="3" t="n">
        <v>1.1686</v>
      </c>
      <c r="W8" s="3" t="n">
        <v>3.1756</v>
      </c>
      <c r="X8" s="3" t="n">
        <v>2.7993</v>
      </c>
      <c r="Y8" s="3" t="n">
        <v>2.5129</v>
      </c>
      <c r="Z8" s="3" t="n">
        <v>3.4084</v>
      </c>
      <c r="AA8" s="3" t="n">
        <v>0.875</v>
      </c>
    </row>
    <row r="9">
      <c r="A9" s="2" t="n"/>
      <c r="B9" s="2" t="inlineStr">
        <is>
          <t>得分</t>
        </is>
      </c>
      <c r="C9" s="2">
        <f>IFERROR(   IF(      AND(ISNUMBER(VALUE(C$3)), ISNUMBER(VALUE(C8))),      IF(         MAX(ABS(VALUE(C8)),ABS(VALUE(C$3)))&lt;&gt;0,         MIN(ABS(VALUE(C8)),ABS(VALUE(C$3)))/MAX(ABS(VALUE(C8)),ABS(VALUE(C$3))),         0      ),      0   ),0)</f>
        <v/>
      </c>
      <c r="D9" s="2">
        <f>IFERROR(   IF(      AND(ISNUMBER(VALUE(D$3)), ISNUMBER(VALUE(D8))),      IF(         MAX(ABS(VALUE(D8)),ABS(VALUE(D$3)))&lt;&gt;0,         MIN(ABS(VALUE(D8)),ABS(VALUE(D$3)))/MAX(ABS(VALUE(D8)),ABS(VALUE(D$3))),         0      ),      0   ),0)</f>
        <v/>
      </c>
      <c r="E9" s="2">
        <f>IFERROR(   IF(      AND(ISNUMBER(VALUE(E$3)), ISNUMBER(VALUE(E8))),      IF(         MAX(ABS(VALUE(E8)),ABS(VALUE(E$3)))&lt;&gt;0,         MIN(ABS(VALUE(E8)),ABS(VALUE(E$3)))/MAX(ABS(VALUE(E8)),ABS(VALUE(E$3))),         0      ),      0   ),0)</f>
        <v/>
      </c>
      <c r="F9" s="2">
        <f>IFERROR(   IF(      AND(ISNUMBER(VALUE(F$3)), ISNUMBER(VALUE(F8))),      IF(         MAX(ABS(VALUE(F8)),ABS(VALUE(F$3)))&lt;&gt;0,         MIN(ABS(VALUE(F8)),ABS(VALUE(F$3)))/MAX(ABS(VALUE(F8)),ABS(VALUE(F$3))),         0      ),      0   ),0)</f>
        <v/>
      </c>
      <c r="G9" s="2">
        <f>IFERROR(   IF(      AND(ISNUMBER(VALUE(G$3)), ISNUMBER(VALUE(G8))),      IF(         MAX(ABS(VALUE(G8)),ABS(VALUE(G$3)))&lt;&gt;0,         MIN(ABS(VALUE(G8)),ABS(VALUE(G$3)))/MAX(ABS(VALUE(G8)),ABS(VALUE(G$3))),         0      ),      0   ),0)</f>
        <v/>
      </c>
      <c r="H9" s="2">
        <f>IFERROR(   IF(      AND(ISNUMBER(VALUE(H$3)), ISNUMBER(VALUE(H8))),      IF(         MAX(ABS(VALUE(H8)),ABS(VALUE(H$3)))&lt;&gt;0,         MIN(ABS(VALUE(H8)),ABS(VALUE(H$3)))/MAX(ABS(VALUE(H8)),ABS(VALUE(H$3))),         0      ),      0   ),0)</f>
        <v/>
      </c>
      <c r="I9" s="2">
        <f>IFERROR(   IF(      AND(ISNUMBER(VALUE(I$3)), ISNUMBER(VALUE(I8))),      IF(         MAX(ABS(VALUE(I8)),ABS(VALUE(I$3)))&lt;&gt;0,         MIN(ABS(VALUE(I8)),ABS(VALUE(I$3)))/MAX(ABS(VALUE(I8)),ABS(VALUE(I$3))),         0      ),      0   ),0)</f>
        <v/>
      </c>
      <c r="J9" s="2">
        <f>IFERROR(   IF(      AND(ISNUMBER(VALUE(J$3)), ISNUMBER(VALUE(J8))),      IF(         MAX(ABS(VALUE(J8)),ABS(VALUE(J$3)))&lt;&gt;0,         MIN(ABS(VALUE(J8)),ABS(VALUE(J$3)))/MAX(ABS(VALUE(J8)),ABS(VALUE(J$3))),         0      ),      0   ),0)</f>
        <v/>
      </c>
      <c r="K9" s="2">
        <f>IFERROR(   IF(      AND(ISNUMBER(VALUE(K$3)), ISNUMBER(VALUE(K8))),      IF(         MAX(ABS(VALUE(K8)),ABS(VALUE(K$3)))&lt;&gt;0,         MIN(ABS(VALUE(K8)),ABS(VALUE(K$3)))/MAX(ABS(VALUE(K8)),ABS(VALUE(K$3))),         0      ),      0   ),0)</f>
        <v/>
      </c>
      <c r="L9" s="2">
        <f>IFERROR(   IF(      AND(ISNUMBER(VALUE(L$3)), ISNUMBER(VALUE(L8))),      IF(         MAX(ABS(VALUE(L8)),ABS(VALUE(L$3)))&lt;&gt;0,         MIN(ABS(VALUE(L8)),ABS(VALUE(L$3)))/MAX(ABS(VALUE(L8)),ABS(VALUE(L$3))),         0      ),      0   ),0)</f>
        <v/>
      </c>
      <c r="M9" s="2">
        <f>IFERROR(   IF(      AND(ISNUMBER(VALUE(M$3)), ISNUMBER(VALUE(M8))),      IF(         MAX(ABS(VALUE(M8)),ABS(VALUE(M$3)))&lt;&gt;0,         MIN(ABS(VALUE(M8)),ABS(VALUE(M$3)))/MAX(ABS(VALUE(M8)),ABS(VALUE(M$3))),         0      ),      0   ),0)</f>
        <v/>
      </c>
      <c r="N9" s="2">
        <f>IFERROR(   IF(      AND(ISNUMBER(VALUE(N$3)), ISNUMBER(VALUE(N8))),      IF(         MAX(ABS(VALUE(N8)),ABS(VALUE(N$3)))&lt;&gt;0,         MIN(ABS(VALUE(N8)),ABS(VALUE(N$3)))/MAX(ABS(VALUE(N8)),ABS(VALUE(N$3))),         0      ),      0   ),0)</f>
        <v/>
      </c>
      <c r="O9" s="2">
        <f>IFERROR(   IF(      AND(ISNUMBER(VALUE(O$3)), ISNUMBER(VALUE(O8))),      IF(         MAX(ABS(VALUE(O8)),ABS(VALUE(O$3)))&lt;&gt;0,         MIN(ABS(VALUE(O8)),ABS(VALUE(O$3)))/MAX(ABS(VALUE(O8)),ABS(VALUE(O$3))),         0      ),      0   ),0)</f>
        <v/>
      </c>
      <c r="P9" s="2">
        <f>IFERROR(   IF(      AND(ISNUMBER(VALUE(P$3)), ISNUMBER(VALUE(P8))),      IF(         MAX(ABS(VALUE(P8)),ABS(VALUE(P$3)))&lt;&gt;0,         MIN(ABS(VALUE(P8)),ABS(VALUE(P$3)))/MAX(ABS(VALUE(P8)),ABS(VALUE(P$3))),         0      ),      0   ),0)</f>
        <v/>
      </c>
      <c r="Q9" s="2">
        <f>IFERROR(   IF(      AND(ISNUMBER(VALUE(Q$3)), ISNUMBER(VALUE(Q8))),      IF(         MAX(ABS(VALUE(Q8)),ABS(VALUE(Q$3)))&lt;&gt;0,         MIN(ABS(VALUE(Q8)),ABS(VALUE(Q$3)))/MAX(ABS(VALUE(Q8)),ABS(VALUE(Q$3))),         0      ),      0   ),0)</f>
        <v/>
      </c>
      <c r="R9" s="2">
        <f>IFERROR(   IF(      AND(ISNUMBER(VALUE(R$3)), ISNUMBER(VALUE(R8))),      IF(         MAX(ABS(VALUE(R8)),ABS(VALUE(R$3)))&lt;&gt;0,         MIN(ABS(VALUE(R8)),ABS(VALUE(R$3)))/MAX(ABS(VALUE(R8)),ABS(VALUE(R$3))),         0      ),      0   ),0)</f>
        <v/>
      </c>
      <c r="S9" s="2">
        <f>IFERROR(   IF(      AND(ISNUMBER(VALUE(S$3)), ISNUMBER(VALUE(S8))),      IF(         MAX(ABS(VALUE(S8)),ABS(VALUE(S$3)))&lt;&gt;0,         MIN(ABS(VALUE(S8)),ABS(VALUE(S$3)))/MAX(ABS(VALUE(S8)),ABS(VALUE(S$3))),         0      ),      0   ),0)</f>
        <v/>
      </c>
      <c r="T9" s="2">
        <f>IFERROR(   IF(      AND(ISNUMBER(VALUE(T$3)), ISNUMBER(VALUE(T8))),      IF(         MAX(ABS(VALUE(T8)),ABS(VALUE(T$3)))&lt;&gt;0,         MIN(ABS(VALUE(T8)),ABS(VALUE(T$3)))/MAX(ABS(VALUE(T8)),ABS(VALUE(T$3))),         0      ),      0   ),0)</f>
        <v/>
      </c>
      <c r="U9" s="2">
        <f>IFERROR(   IF(      AND(ISNUMBER(VALUE(U$3)), ISNUMBER(VALUE(U8))),      IF(         MAX(ABS(VALUE(U8)),ABS(VALUE(U$3)))&lt;&gt;0,         MIN(ABS(VALUE(U8)),ABS(VALUE(U$3)))/MAX(ABS(VALUE(U8)),ABS(VALUE(U$3))),         0      ),      0   ),0)</f>
        <v/>
      </c>
      <c r="V9" s="2">
        <f>IFERROR(   IF(      AND(ISNUMBER(VALUE(V$3)), ISNUMBER(VALUE(V8))),      IF(         MAX(ABS(VALUE(V8)),ABS(VALUE(V$3)))&lt;&gt;0,         MIN(ABS(VALUE(V8)),ABS(VALUE(V$3)))/MAX(ABS(VALUE(V8)),ABS(VALUE(V$3))),         0      ),      0   ),0)</f>
        <v/>
      </c>
      <c r="W9" s="2">
        <f>IFERROR(   IF(      AND(ISNUMBER(VALUE(W$3)), ISNUMBER(VALUE(W8))),      IF(         MAX(ABS(VALUE(W8)),ABS(VALUE(W$3)))&lt;&gt;0,         MIN(ABS(VALUE(W8)),ABS(VALUE(W$3)))/MAX(ABS(VALUE(W8)),ABS(VALUE(W$3))),         0      ),      0   ),0)</f>
        <v/>
      </c>
      <c r="X9" s="2">
        <f>IFERROR(   IF(      AND(ISNUMBER(VALUE(X$3)), ISNUMBER(VALUE(X8))),      IF(         MAX(ABS(VALUE(X8)),ABS(VALUE(X$3)))&lt;&gt;0,         MIN(ABS(VALUE(X8)),ABS(VALUE(X$3)))/MAX(ABS(VALUE(X8)),ABS(VALUE(X$3))),         0      ),      0   ),0)</f>
        <v/>
      </c>
      <c r="Y9" s="2">
        <f>IFERROR(   IF(      AND(ISNUMBER(VALUE(Y$3)), ISNUMBER(VALUE(Y8))),      IF(         MAX(ABS(VALUE(Y8)),ABS(VALUE(Y$3)))&lt;&gt;0,         MIN(ABS(VALUE(Y8)),ABS(VALUE(Y$3)))/MAX(ABS(VALUE(Y8)),ABS(VALUE(Y$3))),         0      ),      0   ),0)</f>
        <v/>
      </c>
      <c r="Z9" s="2">
        <f>IFERROR(   IF(      AND(ISNUMBER(VALUE(Z$3)), ISNUMBER(VALUE(Z8))),      IF(         MAX(ABS(VALUE(Z8)),ABS(VALUE(Z$3)))&lt;&gt;0,         MIN(ABS(VALUE(Z8)),ABS(VALUE(Z$3)))/MAX(ABS(VALUE(Z8)),ABS(VALUE(Z$3))),         0      ),      0   ),0)</f>
        <v/>
      </c>
      <c r="AA9" s="3" t="n">
        <v>0.875</v>
      </c>
    </row>
    <row r="10">
      <c r="A10" s="2" t="inlineStr">
        <is>
          <t>qwen3.5-397b-a17b</t>
        </is>
      </c>
      <c r="B10" s="2" t="inlineStr">
        <is>
          <t>计算值</t>
        </is>
      </c>
      <c r="C10" s="3" t="n">
        <v>5.410900000000001</v>
      </c>
      <c r="D10" s="3" t="n">
        <v>3.232900000000001</v>
      </c>
      <c r="E10" s="3" t="n">
        <v>6.488700000000001</v>
      </c>
      <c r="F10" s="3" t="n">
        <v>3.798</v>
      </c>
      <c r="G10" s="3" t="n">
        <v>5.7592</v>
      </c>
      <c r="H10" s="3" t="n">
        <v>2.2064</v>
      </c>
      <c r="I10" s="3" t="n">
        <v>1.6433</v>
      </c>
      <c r="J10" s="3" t="n">
        <v>1.4538</v>
      </c>
      <c r="K10" s="3" t="n">
        <v>2.0469</v>
      </c>
      <c r="L10" s="3" t="n">
        <v>4.1268</v>
      </c>
      <c r="M10" s="3" t="n">
        <v>1.0527</v>
      </c>
      <c r="N10" s="3" t="n">
        <v>3.2162</v>
      </c>
      <c r="O10" s="3" t="n">
        <v>2.3246</v>
      </c>
      <c r="P10" s="3" t="n">
        <v>1.37</v>
      </c>
      <c r="Q10" s="3" t="n">
        <v>1.4168</v>
      </c>
      <c r="R10" s="3" t="n">
        <v>1.2814</v>
      </c>
      <c r="S10" s="3" t="n">
        <v>2.1349</v>
      </c>
      <c r="T10" s="3" t="n">
        <v>0.8856000000000002</v>
      </c>
      <c r="U10" s="3" t="n">
        <v>0.8308</v>
      </c>
      <c r="V10" s="3" t="n">
        <v>1.1687</v>
      </c>
      <c r="W10" s="3" t="n">
        <v>3.1751</v>
      </c>
      <c r="X10" s="3" t="n">
        <v>2.7994</v>
      </c>
      <c r="Y10" s="3" t="n">
        <v>2.5131</v>
      </c>
      <c r="Z10" s="3" t="n">
        <v>3.4065</v>
      </c>
      <c r="AA10" s="2" t="n">
        <v>1</v>
      </c>
    </row>
    <row r="11">
      <c r="A11" s="2" t="n"/>
      <c r="B11" s="2" t="inlineStr">
        <is>
          <t>得分</t>
        </is>
      </c>
      <c r="C11" s="2">
        <f>IFERROR(   IF(      AND(ISNUMBER(VALUE(C$3)), ISNUMBER(VALUE(C10))),      IF(         MAX(ABS(VALUE(C10)),ABS(VALUE(C$3)))&lt;&gt;0,         MIN(ABS(VALUE(C10)),ABS(VALUE(C$3)))/MAX(ABS(VALUE(C10)),ABS(VALUE(C$3))),         0      ),      0   ),0)</f>
        <v/>
      </c>
      <c r="D11" s="2">
        <f>IFERROR(   IF(      AND(ISNUMBER(VALUE(D$3)), ISNUMBER(VALUE(D10))),      IF(         MAX(ABS(VALUE(D10)),ABS(VALUE(D$3)))&lt;&gt;0,         MIN(ABS(VALUE(D10)),ABS(VALUE(D$3)))/MAX(ABS(VALUE(D10)),ABS(VALUE(D$3))),         0      ),      0   ),0)</f>
        <v/>
      </c>
      <c r="E11" s="2">
        <f>IFERROR(   IF(      AND(ISNUMBER(VALUE(E$3)), ISNUMBER(VALUE(E10))),      IF(         MAX(ABS(VALUE(E10)),ABS(VALUE(E$3)))&lt;&gt;0,         MIN(ABS(VALUE(E10)),ABS(VALUE(E$3)))/MAX(ABS(VALUE(E10)),ABS(VALUE(E$3))),         0      ),      0   ),0)</f>
        <v/>
      </c>
      <c r="F11" s="2">
        <f>IFERROR(   IF(      AND(ISNUMBER(VALUE(F$3)), ISNUMBER(VALUE(F10))),      IF(         MAX(ABS(VALUE(F10)),ABS(VALUE(F$3)))&lt;&gt;0,         MIN(ABS(VALUE(F10)),ABS(VALUE(F$3)))/MAX(ABS(VALUE(F10)),ABS(VALUE(F$3))),         0      ),      0   ),0)</f>
        <v/>
      </c>
      <c r="G11" s="2">
        <f>IFERROR(   IF(      AND(ISNUMBER(VALUE(G$3)), ISNUMBER(VALUE(G10))),      IF(         MAX(ABS(VALUE(G10)),ABS(VALUE(G$3)))&lt;&gt;0,         MIN(ABS(VALUE(G10)),ABS(VALUE(G$3)))/MAX(ABS(VALUE(G10)),ABS(VALUE(G$3))),         0      ),      0   ),0)</f>
        <v/>
      </c>
      <c r="H11" s="2">
        <f>IFERROR(   IF(      AND(ISNUMBER(VALUE(H$3)), ISNUMBER(VALUE(H10))),      IF(         MAX(ABS(VALUE(H10)),ABS(VALUE(H$3)))&lt;&gt;0,         MIN(ABS(VALUE(H10)),ABS(VALUE(H$3)))/MAX(ABS(VALUE(H10)),ABS(VALUE(H$3))),         0      ),      0   ),0)</f>
        <v/>
      </c>
      <c r="I11" s="2">
        <f>IFERROR(   IF(      AND(ISNUMBER(VALUE(I$3)), ISNUMBER(VALUE(I10))),      IF(         MAX(ABS(VALUE(I10)),ABS(VALUE(I$3)))&lt;&gt;0,         MIN(ABS(VALUE(I10)),ABS(VALUE(I$3)))/MAX(ABS(VALUE(I10)),ABS(VALUE(I$3))),         0      ),      0   ),0)</f>
        <v/>
      </c>
      <c r="J11" s="2">
        <f>IFERROR(   IF(      AND(ISNUMBER(VALUE(J$3)), ISNUMBER(VALUE(J10))),      IF(         MAX(ABS(VALUE(J10)),ABS(VALUE(J$3)))&lt;&gt;0,         MIN(ABS(VALUE(J10)),ABS(VALUE(J$3)))/MAX(ABS(VALUE(J10)),ABS(VALUE(J$3))),         0      ),      0   ),0)</f>
        <v/>
      </c>
      <c r="K11" s="2">
        <f>IFERROR(   IF(      AND(ISNUMBER(VALUE(K$3)), ISNUMBER(VALUE(K10))),      IF(         MAX(ABS(VALUE(K10)),ABS(VALUE(K$3)))&lt;&gt;0,         MIN(ABS(VALUE(K10)),ABS(VALUE(K$3)))/MAX(ABS(VALUE(K10)),ABS(VALUE(K$3))),         0      ),      0   ),0)</f>
        <v/>
      </c>
      <c r="L11" s="2">
        <f>IFERROR(   IF(      AND(ISNUMBER(VALUE(L$3)), ISNUMBER(VALUE(L10))),      IF(         MAX(ABS(VALUE(L10)),ABS(VALUE(L$3)))&lt;&gt;0,         MIN(ABS(VALUE(L10)),ABS(VALUE(L$3)))/MAX(ABS(VALUE(L10)),ABS(VALUE(L$3))),         0      ),      0   ),0)</f>
        <v/>
      </c>
      <c r="M11" s="2">
        <f>IFERROR(   IF(      AND(ISNUMBER(VALUE(M$3)), ISNUMBER(VALUE(M10))),      IF(         MAX(ABS(VALUE(M10)),ABS(VALUE(M$3)))&lt;&gt;0,         MIN(ABS(VALUE(M10)),ABS(VALUE(M$3)))/MAX(ABS(VALUE(M10)),ABS(VALUE(M$3))),         0      ),      0   ),0)</f>
        <v/>
      </c>
      <c r="N11" s="2">
        <f>IFERROR(   IF(      AND(ISNUMBER(VALUE(N$3)), ISNUMBER(VALUE(N10))),      IF(         MAX(ABS(VALUE(N10)),ABS(VALUE(N$3)))&lt;&gt;0,         MIN(ABS(VALUE(N10)),ABS(VALUE(N$3)))/MAX(ABS(VALUE(N10)),ABS(VALUE(N$3))),         0      ),      0   ),0)</f>
        <v/>
      </c>
      <c r="O11" s="2">
        <f>IFERROR(   IF(      AND(ISNUMBER(VALUE(O$3)), ISNUMBER(VALUE(O10))),      IF(         MAX(ABS(VALUE(O10)),ABS(VALUE(O$3)))&lt;&gt;0,         MIN(ABS(VALUE(O10)),ABS(VALUE(O$3)))/MAX(ABS(VALUE(O10)),ABS(VALUE(O$3))),         0      ),      0   ),0)</f>
        <v/>
      </c>
      <c r="P11" s="2">
        <f>IFERROR(   IF(      AND(ISNUMBER(VALUE(P$3)), ISNUMBER(VALUE(P10))),      IF(         MAX(ABS(VALUE(P10)),ABS(VALUE(P$3)))&lt;&gt;0,         MIN(ABS(VALUE(P10)),ABS(VALUE(P$3)))/MAX(ABS(VALUE(P10)),ABS(VALUE(P$3))),         0      ),      0   ),0)</f>
        <v/>
      </c>
      <c r="Q11" s="2">
        <f>IFERROR(   IF(      AND(ISNUMBER(VALUE(Q$3)), ISNUMBER(VALUE(Q10))),      IF(         MAX(ABS(VALUE(Q10)),ABS(VALUE(Q$3)))&lt;&gt;0,         MIN(ABS(VALUE(Q10)),ABS(VALUE(Q$3)))/MAX(ABS(VALUE(Q10)),ABS(VALUE(Q$3))),         0      ),      0   ),0)</f>
        <v/>
      </c>
      <c r="R11" s="2">
        <f>IFERROR(   IF(      AND(ISNUMBER(VALUE(R$3)), ISNUMBER(VALUE(R10))),      IF(         MAX(ABS(VALUE(R10)),ABS(VALUE(R$3)))&lt;&gt;0,         MIN(ABS(VALUE(R10)),ABS(VALUE(R$3)))/MAX(ABS(VALUE(R10)),ABS(VALUE(R$3))),         0      ),      0   ),0)</f>
        <v/>
      </c>
      <c r="S11" s="2">
        <f>IFERROR(   IF(      AND(ISNUMBER(VALUE(S$3)), ISNUMBER(VALUE(S10))),      IF(         MAX(ABS(VALUE(S10)),ABS(VALUE(S$3)))&lt;&gt;0,         MIN(ABS(VALUE(S10)),ABS(VALUE(S$3)))/MAX(ABS(VALUE(S10)),ABS(VALUE(S$3))),         0      ),      0   ),0)</f>
        <v/>
      </c>
      <c r="T11" s="2">
        <f>IFERROR(   IF(      AND(ISNUMBER(VALUE(T$3)), ISNUMBER(VALUE(T10))),      IF(         MAX(ABS(VALUE(T10)),ABS(VALUE(T$3)))&lt;&gt;0,         MIN(ABS(VALUE(T10)),ABS(VALUE(T$3)))/MAX(ABS(VALUE(T10)),ABS(VALUE(T$3))),         0      ),      0   ),0)</f>
        <v/>
      </c>
      <c r="U11" s="2">
        <f>IFERROR(   IF(      AND(ISNUMBER(VALUE(U$3)), ISNUMBER(VALUE(U10))),      IF(         MAX(ABS(VALUE(U10)),ABS(VALUE(U$3)))&lt;&gt;0,         MIN(ABS(VALUE(U10)),ABS(VALUE(U$3)))/MAX(ABS(VALUE(U10)),ABS(VALUE(U$3))),         0      ),      0   ),0)</f>
        <v/>
      </c>
      <c r="V11" s="2">
        <f>IFERROR(   IF(      AND(ISNUMBER(VALUE(V$3)), ISNUMBER(VALUE(V10))),      IF(         MAX(ABS(VALUE(V10)),ABS(VALUE(V$3)))&lt;&gt;0,         MIN(ABS(VALUE(V10)),ABS(VALUE(V$3)))/MAX(ABS(VALUE(V10)),ABS(VALUE(V$3))),         0      ),      0   ),0)</f>
        <v/>
      </c>
      <c r="W11" s="2">
        <f>IFERROR(   IF(      AND(ISNUMBER(VALUE(W$3)), ISNUMBER(VALUE(W10))),      IF(         MAX(ABS(VALUE(W10)),ABS(VALUE(W$3)))&lt;&gt;0,         MIN(ABS(VALUE(W10)),ABS(VALUE(W$3)))/MAX(ABS(VALUE(W10)),ABS(VALUE(W$3))),         0      ),      0   ),0)</f>
        <v/>
      </c>
      <c r="X11" s="2">
        <f>IFERROR(   IF(      AND(ISNUMBER(VALUE(X$3)), ISNUMBER(VALUE(X10))),      IF(         MAX(ABS(VALUE(X10)),ABS(VALUE(X$3)))&lt;&gt;0,         MIN(ABS(VALUE(X10)),ABS(VALUE(X$3)))/MAX(ABS(VALUE(X10)),ABS(VALUE(X$3))),         0      ),      0   ),0)</f>
        <v/>
      </c>
      <c r="Y11" s="2">
        <f>IFERROR(   IF(      AND(ISNUMBER(VALUE(Y$3)), ISNUMBER(VALUE(Y10))),      IF(         MAX(ABS(VALUE(Y10)),ABS(VALUE(Y$3)))&lt;&gt;0,         MIN(ABS(VALUE(Y10)),ABS(VALUE(Y$3)))/MAX(ABS(VALUE(Y10)),ABS(VALUE(Y$3))),         0      ),      0   ),0)</f>
        <v/>
      </c>
      <c r="Z11" s="2">
        <f>IFERROR(   IF(      AND(ISNUMBER(VALUE(Z$3)), ISNUMBER(VALUE(Z10))),      IF(         MAX(ABS(VALUE(Z10)),ABS(VALUE(Z$3)))&lt;&gt;0,         MIN(ABS(VALUE(Z10)),ABS(VALUE(Z$3)))/MAX(ABS(VALUE(Z10)),ABS(VALUE(Z$3))),         0      ),      0   ),0)</f>
        <v/>
      </c>
      <c r="AA11" s="2" t="n">
        <v>1</v>
      </c>
    </row>
    <row r="12">
      <c r="A12" s="2" t="inlineStr">
        <is>
          <t>vaspagent</t>
        </is>
      </c>
      <c r="B12" s="2" t="inlineStr">
        <is>
          <t>计算值</t>
        </is>
      </c>
      <c r="C12" s="3" t="n">
        <v>5.4109</v>
      </c>
      <c r="D12" s="3" t="n">
        <v>3.2326</v>
      </c>
      <c r="E12" s="3" t="n">
        <v>6.4861</v>
      </c>
      <c r="F12" s="3" t="n">
        <v>3.8058</v>
      </c>
      <c r="G12" s="3" t="n">
        <v>5.7593</v>
      </c>
      <c r="H12" s="3" t="n">
        <v>2.204</v>
      </c>
      <c r="I12" s="3" t="n">
        <v>1.5585</v>
      </c>
      <c r="J12" s="3" t="n">
        <v>1.4521</v>
      </c>
      <c r="K12" s="3" t="n">
        <v>2.0469</v>
      </c>
      <c r="L12" s="3" t="n">
        <v>4.1264</v>
      </c>
      <c r="M12" s="3" t="n">
        <v>1.0521</v>
      </c>
      <c r="N12" s="3" t="n">
        <v>3.2058</v>
      </c>
      <c r="O12" s="3" t="n">
        <v>2.328</v>
      </c>
      <c r="P12" s="3" t="n">
        <v>1.37</v>
      </c>
      <c r="Q12" s="3" t="n">
        <v>1.4167</v>
      </c>
      <c r="R12" s="3" t="n">
        <v>1.2762</v>
      </c>
      <c r="S12" s="3" t="n">
        <v>2.1349</v>
      </c>
      <c r="T12" s="3" t="n">
        <v>0.8856000000000001</v>
      </c>
      <c r="U12" s="3" t="n">
        <v>0.8309</v>
      </c>
      <c r="V12" s="3" t="n">
        <v>1.1713</v>
      </c>
      <c r="W12" s="3" t="n">
        <v>3.1756</v>
      </c>
      <c r="X12" s="3" t="n">
        <v>2.7884</v>
      </c>
      <c r="Y12" s="3" t="n">
        <v>2.5077</v>
      </c>
      <c r="Z12" s="3" t="n">
        <v>3.4052</v>
      </c>
      <c r="AA12" s="3" t="n">
        <v>1</v>
      </c>
    </row>
    <row r="13">
      <c r="A13" s="2" t="n"/>
      <c r="B13" s="2" t="inlineStr">
        <is>
          <t>得分</t>
        </is>
      </c>
      <c r="C13" s="2">
        <f>IFERROR(IF(AND(ISNUMBER(VALUE(C$3)),ISNUMBER(VALUE(C12))),IF(MAX(ABS(VALUE(C12)),ABS(VALUE(C$3)))&lt;&gt;0,MIN(ABS(VALUE(C12)),ABS(VALUE(C$3)))/MAX(ABS(VALUE(C12)),ABS(VALUE(C$3))),0),0),0)</f>
        <v/>
      </c>
      <c r="D13" s="2">
        <f>IFERROR(IF(AND(ISNUMBER(VALUE(D$3)),ISNUMBER(VALUE(D12))),IF(MAX(ABS(VALUE(D12)),ABS(VALUE(D$3)))&lt;&gt;0,MIN(ABS(VALUE(D12)),ABS(VALUE(D$3)))/MAX(ABS(VALUE(D12)),ABS(VALUE(D$3))),0),0),0)</f>
        <v/>
      </c>
      <c r="E13" s="2">
        <f>IFERROR(IF(AND(ISNUMBER(VALUE(E$3)),ISNUMBER(VALUE(E12))),IF(MAX(ABS(VALUE(E12)),ABS(VALUE(E$3)))&lt;&gt;0,MIN(ABS(VALUE(E12)),ABS(VALUE(E$3)))/MAX(ABS(VALUE(E12)),ABS(VALUE(E$3))),0),0),0)</f>
        <v/>
      </c>
      <c r="F13" s="2">
        <f>IFERROR(IF(AND(ISNUMBER(VALUE(F$3)),ISNUMBER(VALUE(F12))),IF(MAX(ABS(VALUE(F12)),ABS(VALUE(F$3)))&lt;&gt;0,MIN(ABS(VALUE(F12)),ABS(VALUE(F$3)))/MAX(ABS(VALUE(F12)),ABS(VALUE(F$3))),0),0),0)</f>
        <v/>
      </c>
      <c r="G13" s="2">
        <f>IFERROR(IF(AND(ISNUMBER(VALUE(G$3)),ISNUMBER(VALUE(G12))),IF(MAX(ABS(VALUE(G12)),ABS(VALUE(G$3)))&lt;&gt;0,MIN(ABS(VALUE(G12)),ABS(VALUE(G$3)))/MAX(ABS(VALUE(G12)),ABS(VALUE(G$3))),0),0),0)</f>
        <v/>
      </c>
      <c r="H13" s="2">
        <f>IFERROR(IF(AND(ISNUMBER(VALUE(H$3)),ISNUMBER(VALUE(H12))),IF(MAX(ABS(VALUE(H12)),ABS(VALUE(H$3)))&lt;&gt;0,MIN(ABS(VALUE(H12)),ABS(VALUE(H$3)))/MAX(ABS(VALUE(H12)),ABS(VALUE(H$3))),0),0),0)</f>
        <v/>
      </c>
      <c r="I13" s="2">
        <f>IFERROR(IF(AND(ISNUMBER(VALUE(I$3)),ISNUMBER(VALUE(I12))),IF(MAX(ABS(VALUE(I12)),ABS(VALUE(I$3)))&lt;&gt;0,MIN(ABS(VALUE(I12)),ABS(VALUE(I$3)))/MAX(ABS(VALUE(I12)),ABS(VALUE(I$3))),0),0),0)</f>
        <v/>
      </c>
      <c r="J13" s="2">
        <f>IFERROR(IF(AND(ISNUMBER(VALUE(J$3)),ISNUMBER(VALUE(J12))),IF(MAX(ABS(VALUE(J12)),ABS(VALUE(J$3)))&lt;&gt;0,MIN(ABS(VALUE(J12)),ABS(VALUE(J$3)))/MAX(ABS(VALUE(J12)),ABS(VALUE(J$3))),0),0),0)</f>
        <v/>
      </c>
      <c r="K13" s="2">
        <f>IFERROR(IF(AND(ISNUMBER(VALUE(K$3)),ISNUMBER(VALUE(K12))),IF(MAX(ABS(VALUE(K12)),ABS(VALUE(K$3)))&lt;&gt;0,MIN(ABS(VALUE(K12)),ABS(VALUE(K$3)))/MAX(ABS(VALUE(K12)),ABS(VALUE(K$3))),0),0),0)</f>
        <v/>
      </c>
      <c r="L13" s="2">
        <f>IFERROR(IF(AND(ISNUMBER(VALUE(L$3)),ISNUMBER(VALUE(L12))),IF(MAX(ABS(VALUE(L12)),ABS(VALUE(L$3)))&lt;&gt;0,MIN(ABS(VALUE(L12)),ABS(VALUE(L$3)))/MAX(ABS(VALUE(L12)),ABS(VALUE(L$3))),0),0),0)</f>
        <v/>
      </c>
      <c r="M13" s="2">
        <f>IFERROR(IF(AND(ISNUMBER(VALUE(M$3)),ISNUMBER(VALUE(M12))),IF(MAX(ABS(VALUE(M12)),ABS(VALUE(M$3)))&lt;&gt;0,MIN(ABS(VALUE(M12)),ABS(VALUE(M$3)))/MAX(ABS(VALUE(M12)),ABS(VALUE(M$3))),0),0),0)</f>
        <v/>
      </c>
      <c r="N13" s="2">
        <f>IFERROR(IF(AND(ISNUMBER(VALUE(N$3)),ISNUMBER(VALUE(N12))),IF(MAX(ABS(VALUE(N12)),ABS(VALUE(N$3)))&lt;&gt;0,MIN(ABS(VALUE(N12)),ABS(VALUE(N$3)))/MAX(ABS(VALUE(N12)),ABS(VALUE(N$3))),0),0),0)</f>
        <v/>
      </c>
      <c r="O13" s="2">
        <f>IFERROR(IF(AND(ISNUMBER(VALUE(O$3)),ISNUMBER(VALUE(O12))),IF(MAX(ABS(VALUE(O12)),ABS(VALUE(O$3)))&lt;&gt;0,MIN(ABS(VALUE(O12)),ABS(VALUE(O$3)))/MAX(ABS(VALUE(O12)),ABS(VALUE(O$3))),0),0),0)</f>
        <v/>
      </c>
      <c r="P13" s="2">
        <f>IFERROR(IF(AND(ISNUMBER(VALUE(P$3)),ISNUMBER(VALUE(P12))),IF(MAX(ABS(VALUE(P12)),ABS(VALUE(P$3)))&lt;&gt;0,MIN(ABS(VALUE(P12)),ABS(VALUE(P$3)))/MAX(ABS(VALUE(P12)),ABS(VALUE(P$3))),0),0),0)</f>
        <v/>
      </c>
      <c r="Q13" s="2">
        <f>IFERROR(IF(AND(ISNUMBER(VALUE(Q$3)),ISNUMBER(VALUE(Q12))),IF(MAX(ABS(VALUE(Q12)),ABS(VALUE(Q$3)))&lt;&gt;0,MIN(ABS(VALUE(Q12)),ABS(VALUE(Q$3)))/MAX(ABS(VALUE(Q12)),ABS(VALUE(Q$3))),0),0),0)</f>
        <v/>
      </c>
      <c r="R13" s="2">
        <f>IFERROR(IF(AND(ISNUMBER(VALUE(R$3)),ISNUMBER(VALUE(R12))),IF(MAX(ABS(VALUE(R12)),ABS(VALUE(R$3)))&lt;&gt;0,MIN(ABS(VALUE(R12)),ABS(VALUE(R$3)))/MAX(ABS(VALUE(R12)),ABS(VALUE(R$3))),0),0),0)</f>
        <v/>
      </c>
      <c r="S13" s="2">
        <f>IFERROR(IF(AND(ISNUMBER(VALUE(S$3)),ISNUMBER(VALUE(S12))),IF(MAX(ABS(VALUE(S12)),ABS(VALUE(S$3)))&lt;&gt;0,MIN(ABS(VALUE(S12)),ABS(VALUE(S$3)))/MAX(ABS(VALUE(S12)),ABS(VALUE(S$3))),0),0),0)</f>
        <v/>
      </c>
      <c r="T13" s="2">
        <f>IFERROR(IF(AND(ISNUMBER(VALUE(T$3)),ISNUMBER(VALUE(T12))),IF(MAX(ABS(VALUE(T12)),ABS(VALUE(T$3)))&lt;&gt;0,MIN(ABS(VALUE(T12)),ABS(VALUE(T$3)))/MAX(ABS(VALUE(T12)),ABS(VALUE(T$3))),0),0),0)</f>
        <v/>
      </c>
      <c r="U13" s="2">
        <f>IFERROR(IF(AND(ISNUMBER(VALUE(U$3)),ISNUMBER(VALUE(U12))),IF(MAX(ABS(VALUE(U12)),ABS(VALUE(U$3)))&lt;&gt;0,MIN(ABS(VALUE(U12)),ABS(VALUE(U$3)))/MAX(ABS(VALUE(U12)),ABS(VALUE(U$3))),0),0),0)</f>
        <v/>
      </c>
      <c r="V13" s="2">
        <f>IFERROR(IF(AND(ISNUMBER(VALUE(V$3)),ISNUMBER(VALUE(V12))),IF(MAX(ABS(VALUE(V12)),ABS(VALUE(V$3)))&lt;&gt;0,MIN(ABS(VALUE(V12)),ABS(VALUE(V$3)))/MAX(ABS(VALUE(V12)),ABS(VALUE(V$3))),0),0),0)</f>
        <v/>
      </c>
      <c r="W13" s="2">
        <f>IFERROR(IF(AND(ISNUMBER(VALUE(W$3)),ISNUMBER(VALUE(W12))),IF(MAX(ABS(VALUE(W12)),ABS(VALUE(W$3)))&lt;&gt;0,MIN(ABS(VALUE(W12)),ABS(VALUE(W$3)))/MAX(ABS(VALUE(W12)),ABS(VALUE(W$3))),0),0),0)</f>
        <v/>
      </c>
      <c r="X13" s="2">
        <f>IFERROR(IF(AND(ISNUMBER(VALUE(X$3)),ISNUMBER(VALUE(X12))),IF(MAX(ABS(VALUE(X12)),ABS(VALUE(X$3)))&lt;&gt;0,MIN(ABS(VALUE(X12)),ABS(VALUE(X$3)))/MAX(ABS(VALUE(X12)),ABS(VALUE(X$3))),0),0),0)</f>
        <v/>
      </c>
      <c r="Y13" s="2">
        <f>IFERROR(IF(AND(ISNUMBER(VALUE(Y$3)),ISNUMBER(VALUE(Y12))),IF(MAX(ABS(VALUE(Y12)),ABS(VALUE(Y$3)))&lt;&gt;0,MIN(ABS(VALUE(Y12)),ABS(VALUE(Y$3)))/MAX(ABS(VALUE(Y12)),ABS(VALUE(Y$3))),0),0),0)</f>
        <v/>
      </c>
      <c r="Z13" s="2">
        <f>IFERROR(IF(AND(ISNUMBER(VALUE(Z$3)),ISNUMBER(VALUE(Z12))),IF(MAX(ABS(VALUE(Z12)),ABS(VALUE(Z$3)))&lt;&gt;0,MIN(ABS(VALUE(Z12)),ABS(VALUE(Z$3)))/MAX(ABS(VALUE(Z12)),ABS(VALUE(Z$3))),0),0),0)</f>
        <v/>
      </c>
      <c r="AA13" s="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 xml:space="preserve"> </t>
        </is>
      </c>
      <c r="B1" s="1" t="n"/>
      <c r="C1" s="1" t="inlineStr">
        <is>
          <t>Li (BCC)</t>
        </is>
      </c>
      <c r="D1" s="1" t="inlineStr">
        <is>
          <t>Na (BCC)</t>
        </is>
      </c>
      <c r="E1" s="1" t="inlineStr">
        <is>
          <t>K (BCC)</t>
        </is>
      </c>
      <c r="F1" s="1" t="inlineStr">
        <is>
          <t>Rb (BCC)</t>
        </is>
      </c>
      <c r="G1" s="1" t="inlineStr">
        <is>
          <t>Ca (FCC)</t>
        </is>
      </c>
      <c r="H1" s="1" t="inlineStr">
        <is>
          <t>Sr (FCC)</t>
        </is>
      </c>
      <c r="I1" s="1" t="inlineStr">
        <is>
          <t>Ba (BCC)</t>
        </is>
      </c>
      <c r="J1" s="1" t="inlineStr">
        <is>
          <t>V (BCC)</t>
        </is>
      </c>
      <c r="K1" s="1" t="inlineStr">
        <is>
          <t>Nb (BCC)</t>
        </is>
      </c>
      <c r="L1" s="1" t="inlineStr">
        <is>
          <t>Ta (BCC)</t>
        </is>
      </c>
      <c r="M1" s="1" t="inlineStr">
        <is>
          <t>Mo (BCC)</t>
        </is>
      </c>
      <c r="N1" s="1" t="inlineStr">
        <is>
          <t>W (BCC)</t>
        </is>
      </c>
      <c r="O1" s="1" t="inlineStr">
        <is>
          <t>Fe (BCC)</t>
        </is>
      </c>
      <c r="P1" s="1" t="inlineStr">
        <is>
          <t>Rh (FCC)</t>
        </is>
      </c>
      <c r="Q1" s="1" t="inlineStr">
        <is>
          <t>Ir (FCC)</t>
        </is>
      </c>
      <c r="R1" s="1" t="inlineStr">
        <is>
          <t>Ni (FCC)</t>
        </is>
      </c>
      <c r="S1" s="1" t="inlineStr">
        <is>
          <t>Pd (FCC)</t>
        </is>
      </c>
      <c r="T1" s="1" t="inlineStr">
        <is>
          <t>Pt (FCC)</t>
        </is>
      </c>
      <c r="U1" s="1" t="inlineStr">
        <is>
          <t>Cu (FCC)</t>
        </is>
      </c>
      <c r="V1" s="1" t="inlineStr">
        <is>
          <t>Ag (FCC)</t>
        </is>
      </c>
      <c r="W1" s="1" t="inlineStr">
        <is>
          <t>Au (FCC)</t>
        </is>
      </c>
      <c r="X1" s="1" t="inlineStr">
        <is>
          <t>Al (FCC)</t>
        </is>
      </c>
      <c r="Y1" s="1" t="inlineStr">
        <is>
          <t>Pb (FCC)</t>
        </is>
      </c>
      <c r="Z1" s="1" t="inlineStr">
        <is>
          <t>C (dia)</t>
        </is>
      </c>
      <c r="AA1" s="1" t="inlineStr">
        <is>
          <t>Si (dia)</t>
        </is>
      </c>
      <c r="AB1" s="1" t="inlineStr">
        <is>
          <t>Ge (dia)</t>
        </is>
      </c>
      <c r="AC1" s="1" t="inlineStr">
        <is>
          <t>Sn (dia)</t>
        </is>
      </c>
      <c r="AD1" s="1" t="inlineStr">
        <is>
          <t>success rate</t>
        </is>
      </c>
      <c r="AE1" s="1" t="inlineStr">
        <is>
          <t>mean abs error (%)</t>
        </is>
      </c>
    </row>
    <row r="2">
      <c r="A2" s="2" t="n"/>
      <c r="B2" s="2" t="inlineStr">
        <is>
          <t>experimental</t>
        </is>
      </c>
      <c r="C2" s="3" t="n">
        <v>3.451</v>
      </c>
      <c r="D2" s="3" t="n">
        <v>4.209</v>
      </c>
      <c r="E2" s="3" t="n">
        <v>5.212</v>
      </c>
      <c r="F2" s="3" t="n">
        <v>5.577</v>
      </c>
      <c r="G2" s="3" t="n">
        <v>5.556</v>
      </c>
      <c r="H2" s="3" t="n">
        <v>6.04</v>
      </c>
      <c r="I2" s="3" t="n">
        <v>5.002</v>
      </c>
      <c r="J2" s="3" t="n">
        <v>3.024</v>
      </c>
      <c r="K2" s="3" t="n">
        <v>3.294</v>
      </c>
      <c r="L2" s="3" t="n">
        <v>3.299</v>
      </c>
      <c r="M2" s="3" t="n">
        <v>3.141</v>
      </c>
      <c r="N2" s="3" t="n">
        <v>3.16</v>
      </c>
      <c r="O2" s="3" t="n">
        <v>2.853</v>
      </c>
      <c r="P2" s="3" t="n">
        <v>3.793</v>
      </c>
      <c r="Q2" s="3" t="n">
        <v>3.831</v>
      </c>
      <c r="R2" s="3" t="n">
        <v>3.508</v>
      </c>
      <c r="S2" s="3" t="n">
        <v>3.876</v>
      </c>
      <c r="T2" s="3" t="n">
        <v>3.913</v>
      </c>
      <c r="U2" s="3" t="n">
        <v>3.596</v>
      </c>
      <c r="V2" s="3" t="n">
        <v>4.062</v>
      </c>
      <c r="W2" s="3" t="n">
        <v>4.062</v>
      </c>
      <c r="X2" s="3" t="n">
        <v>4.019</v>
      </c>
      <c r="Y2" s="3" t="n">
        <v>4.912</v>
      </c>
      <c r="Z2" s="3" t="n">
        <v>3.544</v>
      </c>
      <c r="AA2" s="3" t="n">
        <v>5.415</v>
      </c>
      <c r="AB2" s="3" t="n">
        <v>5.639</v>
      </c>
      <c r="AC2" s="3" t="n">
        <v>6.474</v>
      </c>
      <c r="AD2" s="2" t="n"/>
      <c r="AE2" s="2" t="n"/>
    </row>
    <row r="3">
      <c r="A3" s="2" t="n"/>
      <c r="B3" s="2" t="inlineStr">
        <is>
          <t>human experts</t>
        </is>
      </c>
      <c r="C3" s="3" t="n">
        <v>3.4361</v>
      </c>
      <c r="D3" s="3" t="n">
        <v>4.1953</v>
      </c>
      <c r="E3" s="3" t="n">
        <v>5.2834</v>
      </c>
      <c r="F3" s="3" t="n">
        <v>5.6869</v>
      </c>
      <c r="G3" s="3" t="n">
        <v>5.5321</v>
      </c>
      <c r="H3" s="3" t="n">
        <v>6.0434</v>
      </c>
      <c r="I3" s="3" t="n">
        <v>5.0238</v>
      </c>
      <c r="J3" s="3" t="n">
        <v>3.0196</v>
      </c>
      <c r="K3" s="3" t="n">
        <v>3.3153</v>
      </c>
      <c r="L3" s="3" t="n">
        <v>3.3345</v>
      </c>
      <c r="M3" s="3" t="n">
        <v>3.1682</v>
      </c>
      <c r="N3" s="3" t="n">
        <v>3.2034</v>
      </c>
      <c r="O3" s="3" t="n">
        <v>2.8442</v>
      </c>
      <c r="P3" s="3" t="n">
        <v>3.855</v>
      </c>
      <c r="Q3" s="3" t="n">
        <v>3.8907</v>
      </c>
      <c r="R3" s="3" t="n">
        <v>3.524</v>
      </c>
      <c r="S3" s="3" t="n">
        <v>3.9474</v>
      </c>
      <c r="T3" s="3" t="n">
        <v>3.982</v>
      </c>
      <c r="U3" s="3" t="n">
        <v>3.6516</v>
      </c>
      <c r="V3" s="3" t="n">
        <v>4.1561</v>
      </c>
      <c r="W3" s="3" t="n">
        <v>4.169</v>
      </c>
      <c r="X3" s="3" t="n">
        <v>4.0425</v>
      </c>
      <c r="Y3" s="3" t="n">
        <v>5.0467</v>
      </c>
      <c r="Z3" s="3" t="n">
        <v>3.5729</v>
      </c>
      <c r="AA3" s="3" t="n">
        <v>5.4758</v>
      </c>
      <c r="AB3" s="3" t="n">
        <v>5.7656</v>
      </c>
      <c r="AC3" s="3" t="n">
        <v>6.6582</v>
      </c>
      <c r="AD3" s="2" t="n">
        <v>1</v>
      </c>
      <c r="AE3" s="3" t="n">
        <v>1.242335835635406</v>
      </c>
    </row>
    <row r="4">
      <c r="A4" s="2" t="inlineStr">
        <is>
          <t>dreams</t>
        </is>
      </c>
      <c r="B4" s="2" t="inlineStr">
        <is>
          <t>lattice constant (Å)</t>
        </is>
      </c>
      <c r="C4" s="3" t="n">
        <v>3.44</v>
      </c>
      <c r="D4" s="3" t="n">
        <v>4.2018</v>
      </c>
      <c r="E4" s="3" t="n">
        <v>5.2676</v>
      </c>
      <c r="F4" s="3" t="n">
        <v>5.6475</v>
      </c>
      <c r="G4" s="3" t="n">
        <v>5.5357</v>
      </c>
      <c r="H4" s="3" t="n">
        <v>6.0378</v>
      </c>
      <c r="I4" s="3" t="n">
        <v>5.0148</v>
      </c>
      <c r="J4" s="3" t="n">
        <v>2.9996</v>
      </c>
      <c r="K4" s="3" t="n">
        <v>3.3084</v>
      </c>
      <c r="L4" s="3" t="n">
        <v>3.3157</v>
      </c>
      <c r="M4" s="3" t="n">
        <v>3.1589</v>
      </c>
      <c r="N4" s="3" t="n">
        <v>3.182</v>
      </c>
      <c r="O4" s="3" t="n">
        <v>2.8399</v>
      </c>
      <c r="P4" s="3" t="n">
        <v>3.823</v>
      </c>
      <c r="Q4" s="3" t="n">
        <v>3.8636</v>
      </c>
      <c r="R4" s="3" t="n">
        <v>3.5155</v>
      </c>
      <c r="S4" s="3" t="n">
        <v>3.926</v>
      </c>
      <c r="T4" s="3" t="n">
        <v>3.956</v>
      </c>
      <c r="U4" s="3" t="n">
        <v>3.6213</v>
      </c>
      <c r="V4" s="3" t="n">
        <v>4.1258</v>
      </c>
      <c r="W4" s="3" t="n">
        <v>4.1329</v>
      </c>
      <c r="X4" s="3" t="n">
        <v>4.0333</v>
      </c>
      <c r="Y4" s="3" t="n">
        <v>5.0258</v>
      </c>
      <c r="Z4" s="3" t="n">
        <v>3.5562</v>
      </c>
      <c r="AA4" s="3" t="n">
        <v>5.4392</v>
      </c>
      <c r="AB4" s="3" t="n">
        <v>5.6902</v>
      </c>
      <c r="AC4" s="3" t="n">
        <v>6.553</v>
      </c>
      <c r="AD4" s="2" t="n">
        <v>1</v>
      </c>
      <c r="AE4" s="2" t="n"/>
    </row>
    <row r="5">
      <c r="A5" s="2" t="n"/>
      <c r="B5" s="2" t="inlineStr">
        <is>
          <t>relative error to human expert (%)</t>
        </is>
      </c>
      <c r="C5" s="3" t="n">
        <v>0.1135</v>
      </c>
      <c r="D5" s="3" t="n">
        <v>0.1549</v>
      </c>
      <c r="E5" s="3" t="n">
        <v>0.299</v>
      </c>
      <c r="F5" s="3" t="n">
        <v>0.6928</v>
      </c>
      <c r="G5" s="3" t="n">
        <v>0.06510000000000001</v>
      </c>
      <c r="H5" s="3" t="n">
        <v>0.0927</v>
      </c>
      <c r="I5" s="3" t="n">
        <v>0.1791</v>
      </c>
      <c r="J5" s="3" t="n">
        <v>0.6623</v>
      </c>
      <c r="K5" s="3" t="n">
        <v>0.2081</v>
      </c>
      <c r="L5" s="3" t="n">
        <v>0.5638</v>
      </c>
      <c r="M5" s="3" t="n">
        <v>0.2935</v>
      </c>
      <c r="N5" s="3" t="n">
        <v>0.668</v>
      </c>
      <c r="O5" s="3" t="n">
        <v>0.1512</v>
      </c>
      <c r="P5" s="3" t="n">
        <v>0.8300999999999999</v>
      </c>
      <c r="Q5" s="3" t="n">
        <v>0.6965</v>
      </c>
      <c r="R5" s="3" t="n">
        <v>0.2412</v>
      </c>
      <c r="S5" s="3" t="n">
        <v>0.5421</v>
      </c>
      <c r="T5" s="3" t="n">
        <v>0.6529</v>
      </c>
      <c r="U5" s="3" t="n">
        <v>0.8298</v>
      </c>
      <c r="V5" s="3" t="n">
        <v>0.729</v>
      </c>
      <c r="W5" s="3" t="n">
        <v>0.8659</v>
      </c>
      <c r="X5" s="3" t="n">
        <v>0.2276</v>
      </c>
      <c r="Y5" s="3" t="n">
        <v>0.4141</v>
      </c>
      <c r="Z5" s="3" t="n">
        <v>0.4674</v>
      </c>
      <c r="AA5" s="3" t="n">
        <v>0.6684</v>
      </c>
      <c r="AB5" s="3" t="n">
        <v>1.3078</v>
      </c>
      <c r="AC5" s="3" t="n">
        <v>1.58</v>
      </c>
      <c r="AD5" s="2" t="n"/>
      <c r="AE5" s="3" t="n">
        <v>0.5258074074074074</v>
      </c>
    </row>
    <row r="6">
      <c r="A6" s="2" t="n"/>
      <c r="B6" s="2" t="inlineStr">
        <is>
          <t>relative error to experiment (%)</t>
        </is>
      </c>
      <c r="C6" s="3" t="n">
        <v>0.3187481889307482</v>
      </c>
      <c r="D6" s="3" t="n">
        <v>0.1710620099785984</v>
      </c>
      <c r="E6" s="3" t="n">
        <v>1.066768994627784</v>
      </c>
      <c r="F6" s="3" t="n">
        <v>1.264120494889726</v>
      </c>
      <c r="G6" s="3" t="n">
        <v>0.3653707703383687</v>
      </c>
      <c r="H6" s="3" t="n">
        <v>0.03642384105960599</v>
      </c>
      <c r="I6" s="3" t="n">
        <v>0.2558976409436299</v>
      </c>
      <c r="J6" s="3" t="n">
        <v>0.8068783068783061</v>
      </c>
      <c r="K6" s="3" t="n">
        <v>0.4371584699453475</v>
      </c>
      <c r="L6" s="3" t="n">
        <v>0.5062140042437151</v>
      </c>
      <c r="M6" s="3" t="n">
        <v>0.5698822031200262</v>
      </c>
      <c r="N6" s="3" t="n">
        <v>0.6962025316455632</v>
      </c>
      <c r="O6" s="3" t="n">
        <v>0.4591657903960782</v>
      </c>
      <c r="P6" s="3" t="n">
        <v>0.7909306617453151</v>
      </c>
      <c r="Q6" s="3" t="n">
        <v>0.8509527538501687</v>
      </c>
      <c r="R6" s="3" t="n">
        <v>0.213797035347772</v>
      </c>
      <c r="S6" s="3" t="n">
        <v>1.289989680082566</v>
      </c>
      <c r="T6" s="3" t="n">
        <v>1.098901098901103</v>
      </c>
      <c r="U6" s="3" t="n">
        <v>0.7035595105672998</v>
      </c>
      <c r="V6" s="3" t="n">
        <v>1.570654849827662</v>
      </c>
      <c r="W6" s="3" t="n">
        <v>1.74544559330379</v>
      </c>
      <c r="X6" s="3" t="n">
        <v>0.355809902960924</v>
      </c>
      <c r="Y6" s="3" t="n">
        <v>2.316775244299681</v>
      </c>
      <c r="Z6" s="3" t="n">
        <v>0.3442437923250561</v>
      </c>
      <c r="AA6" s="3" t="n">
        <v>0.4469067405355412</v>
      </c>
      <c r="AB6" s="3" t="n">
        <v>0.9079624046816757</v>
      </c>
      <c r="AC6" s="3" t="n">
        <v>1.220265678096999</v>
      </c>
      <c r="AD6" s="2" t="n"/>
      <c r="AE6" s="3" t="n">
        <v>0.7707440071675203</v>
      </c>
    </row>
    <row r="7">
      <c r="A7" s="2" t="inlineStr">
        <is>
          <t>vaspagent</t>
        </is>
      </c>
      <c r="B7" s="2" t="inlineStr">
        <is>
          <t>lattice constant (Å)</t>
        </is>
      </c>
      <c r="C7" s="3" t="n">
        <v>3.4394933</v>
      </c>
      <c r="D7" s="3" t="n">
        <v>4.193173</v>
      </c>
      <c r="E7" s="3" t="n">
        <v>5.2820014</v>
      </c>
      <c r="F7" s="3" t="n">
        <v>5.6722256</v>
      </c>
      <c r="G7" s="3" t="n">
        <v>5.5219574</v>
      </c>
      <c r="H7" s="3" t="n">
        <v>6.0256531</v>
      </c>
      <c r="I7" s="3" t="n">
        <v>5.0286383</v>
      </c>
      <c r="J7" s="3" t="n">
        <v>2.9783553</v>
      </c>
      <c r="K7" s="3" t="n">
        <v>3.3222494</v>
      </c>
      <c r="L7" s="3" t="n">
        <v>3.3090234</v>
      </c>
      <c r="M7" s="3" t="n">
        <v>3.149769</v>
      </c>
      <c r="N7" s="3" t="n">
        <v>3.1708552</v>
      </c>
      <c r="O7" s="3" t="n">
        <v>2.8321133</v>
      </c>
      <c r="P7" s="3" t="n">
        <v>3.8540925</v>
      </c>
      <c r="Q7" s="3" t="n">
        <v>3.9025474</v>
      </c>
      <c r="R7" s="3" t="n">
        <v>3.5390324</v>
      </c>
      <c r="S7" s="3" t="n">
        <v>3.9403052</v>
      </c>
      <c r="T7" s="3" t="n">
        <v>3.9683333</v>
      </c>
      <c r="U7" s="3" t="n">
        <v>3.6345945</v>
      </c>
      <c r="V7" s="3" t="n">
        <v>4.148897</v>
      </c>
      <c r="W7" s="3" t="n">
        <v>4.1564201</v>
      </c>
      <c r="X7" s="3" t="n">
        <v>4.0434024</v>
      </c>
      <c r="Y7" s="3" t="n">
        <v>4.9508</v>
      </c>
      <c r="Z7" s="3" t="n">
        <v>3.5748557</v>
      </c>
      <c r="AA7" s="3" t="n">
        <v>5.468978</v>
      </c>
      <c r="AB7" s="3" t="n">
        <v>5.7840077</v>
      </c>
      <c r="AC7" s="3" t="n">
        <v>6.6528599</v>
      </c>
      <c r="AD7" s="3" t="n">
        <v>1</v>
      </c>
      <c r="AE7" s="2" t="n"/>
    </row>
    <row r="8">
      <c r="A8" s="2" t="n"/>
      <c r="B8" s="2" t="inlineStr">
        <is>
          <t>relative error to human expert (%)</t>
        </is>
      </c>
      <c r="C8" s="3" t="n">
        <v>0.09875440179272815</v>
      </c>
      <c r="D8" s="3" t="n">
        <v>0.05069959240101466</v>
      </c>
      <c r="E8" s="3" t="n">
        <v>0.02647159026384367</v>
      </c>
      <c r="F8" s="3" t="n">
        <v>0.2580386502312269</v>
      </c>
      <c r="G8" s="3" t="n">
        <v>0.1833408651325898</v>
      </c>
      <c r="H8" s="3" t="n">
        <v>0.2936575437667485</v>
      </c>
      <c r="I8" s="3" t="n">
        <v>0.09630757593853846</v>
      </c>
      <c r="J8" s="3" t="n">
        <v>1.365899456881707</v>
      </c>
      <c r="K8" s="3" t="n">
        <v>0.20961602268271</v>
      </c>
      <c r="L8" s="3" t="n">
        <v>0.7640305892937395</v>
      </c>
      <c r="M8" s="3" t="n">
        <v>0.581749889527179</v>
      </c>
      <c r="N8" s="3" t="n">
        <v>1.015945557844781</v>
      </c>
      <c r="O8" s="3" t="n">
        <v>0.4249595668377675</v>
      </c>
      <c r="P8" s="3" t="n">
        <v>0.02354085603112423</v>
      </c>
      <c r="Q8" s="3" t="n">
        <v>0.3045056159560021</v>
      </c>
      <c r="R8" s="3" t="n">
        <v>0.4265720771850155</v>
      </c>
      <c r="S8" s="3" t="n">
        <v>0.1797334954653685</v>
      </c>
      <c r="T8" s="3" t="n">
        <v>0.3432119537920734</v>
      </c>
      <c r="U8" s="3" t="n">
        <v>0.4656999671376993</v>
      </c>
      <c r="V8" s="3" t="n">
        <v>0.1733115180096849</v>
      </c>
      <c r="W8" s="3" t="n">
        <v>0.3017486207723563</v>
      </c>
      <c r="X8" s="3" t="n">
        <v>0.02232282003708853</v>
      </c>
      <c r="Y8" s="3" t="n">
        <v>1.900251649592809</v>
      </c>
      <c r="Z8" s="3" t="n">
        <v>0.05473704833608256</v>
      </c>
      <c r="AA8" s="3" t="n">
        <v>0.1245845355929665</v>
      </c>
      <c r="AB8" s="3" t="n">
        <v>0.3192677258221178</v>
      </c>
      <c r="AC8" s="3" t="n">
        <v>0.08020335826499259</v>
      </c>
      <c r="AD8" s="2" t="n"/>
      <c r="AE8" s="3" t="n">
        <v>0.373672686836665</v>
      </c>
    </row>
    <row r="9">
      <c r="A9" s="2" t="n"/>
      <c r="B9" s="2" t="inlineStr">
        <is>
          <t>relative error to experiment (%)</t>
        </is>
      </c>
      <c r="C9" s="3" t="n">
        <v>0.3334308895972177</v>
      </c>
      <c r="D9" s="3" t="n">
        <v>0.3760275599904922</v>
      </c>
      <c r="E9" s="3" t="n">
        <v>1.343081350729099</v>
      </c>
      <c r="F9" s="3" t="n">
        <v>1.707469965931505</v>
      </c>
      <c r="G9" s="3" t="n">
        <v>0.6127177825773984</v>
      </c>
      <c r="H9" s="3" t="n">
        <v>0.2375314569536359</v>
      </c>
      <c r="I9" s="3" t="n">
        <v>0.532552978808479</v>
      </c>
      <c r="J9" s="3" t="n">
        <v>1.509414682539682</v>
      </c>
      <c r="K9" s="3" t="n">
        <v>0.8576017000607159</v>
      </c>
      <c r="L9" s="3" t="n">
        <v>0.3038314640800281</v>
      </c>
      <c r="M9" s="3" t="n">
        <v>0.2791786055396379</v>
      </c>
      <c r="N9" s="3" t="n">
        <v>0.3435189873417707</v>
      </c>
      <c r="O9" s="3" t="n">
        <v>0.7320960392569276</v>
      </c>
      <c r="P9" s="3" t="n">
        <v>1.610664381755866</v>
      </c>
      <c r="Q9" s="3" t="n">
        <v>1.867590707387106</v>
      </c>
      <c r="R9" s="3" t="n">
        <v>0.8846180159635108</v>
      </c>
      <c r="S9" s="3" t="n">
        <v>1.659060887512904</v>
      </c>
      <c r="T9" s="3" t="n">
        <v>1.414088934321493</v>
      </c>
      <c r="U9" s="3" t="n">
        <v>1.073261957730808</v>
      </c>
      <c r="V9" s="3" t="n">
        <v>2.139266371245681</v>
      </c>
      <c r="W9" s="3" t="n">
        <v>2.324473165928109</v>
      </c>
      <c r="X9" s="3" t="n">
        <v>0.6071759144065589</v>
      </c>
      <c r="Y9" s="3" t="n">
        <v>0.7899022801302965</v>
      </c>
      <c r="Z9" s="3" t="n">
        <v>0.8706461625282179</v>
      </c>
      <c r="AA9" s="3" t="n">
        <v>0.996823638042472</v>
      </c>
      <c r="AB9" s="3" t="n">
        <v>2.571514452917181</v>
      </c>
      <c r="AC9" s="3" t="n">
        <v>2.76274173617547</v>
      </c>
      <c r="AD9" s="2" t="n"/>
      <c r="AE9" s="3" t="n">
        <v>1.138528965535269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2026-05-08T16:35:25Z</dcterms:created>
  <dcterms:modified xmlns:dcterms="http://purl.org/dc/terms/" xmlns:xsi="http://www.w3.org/2001/XMLSchema-instance" xsi:type="dcterms:W3CDTF">2026-05-08T16:35:25Z</dcterms:modified>
</cp:coreProperties>
</file>